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armendraprasad/Desktop/MacBook Air/DKP/E/BILL_PAYMENT_Summary/voucher entry company wise/Thermax Enviro /THERMAX 25-26_Jamnagar/"/>
    </mc:Choice>
  </mc:AlternateContent>
  <xr:revisionPtr revIDLastSave="0" documentId="13_ncr:1_{E9AF98A8-129B-694E-B899-2F53E9CFFB67}" xr6:coauthVersionLast="47" xr6:coauthVersionMax="47" xr10:uidLastSave="{00000000-0000-0000-0000-000000000000}"/>
  <bookViews>
    <workbookView xWindow="160" yWindow="940" windowWidth="33880" windowHeight="19660" xr2:uid="{1F03DDE6-2FBB-BE4A-9138-B7F91124E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F11" i="1"/>
  <c r="G11" i="1" s="1"/>
  <c r="F10" i="1"/>
  <c r="G10" i="1" s="1"/>
  <c r="K5" i="1"/>
  <c r="H10" i="1" l="1"/>
  <c r="H12" i="1"/>
  <c r="J12" i="1" s="1"/>
  <c r="K12" i="1" s="1"/>
  <c r="H11" i="1"/>
  <c r="J11" i="1" s="1"/>
  <c r="I10" i="1"/>
  <c r="I11" i="1"/>
  <c r="F9" i="1"/>
  <c r="F8" i="1"/>
  <c r="F7" i="1"/>
  <c r="F6" i="1"/>
  <c r="F5" i="1"/>
  <c r="F4" i="1"/>
  <c r="J10" i="1" l="1"/>
  <c r="G6" i="1"/>
  <c r="H6" i="1"/>
  <c r="J6" i="1" s="1"/>
  <c r="G5" i="1"/>
  <c r="H5" i="1"/>
  <c r="J5" i="1" s="1"/>
  <c r="G7" i="1"/>
  <c r="I7" i="1"/>
  <c r="H7" i="1"/>
  <c r="G4" i="1"/>
  <c r="I4" i="1"/>
  <c r="H4" i="1"/>
  <c r="G8" i="1"/>
  <c r="H8" i="1"/>
  <c r="J8" i="1" s="1"/>
  <c r="G9" i="1"/>
  <c r="K8" i="1" l="1"/>
  <c r="J16" i="1"/>
  <c r="J4" i="1"/>
  <c r="K4" i="1"/>
  <c r="J9" i="1"/>
  <c r="K9" i="1" s="1"/>
  <c r="J7" i="1"/>
  <c r="K7" i="1" s="1"/>
  <c r="K16" i="1" l="1"/>
  <c r="M16" i="1" s="1"/>
  <c r="E19" i="1" s="1"/>
</calcChain>
</file>

<file path=xl/sharedStrings.xml><?xml version="1.0" encoding="utf-8"?>
<sst xmlns="http://schemas.openxmlformats.org/spreadsheetml/2006/main" count="78" uniqueCount="49">
  <si>
    <t>25.08.25</t>
  </si>
  <si>
    <t>GJ/2025-26/28</t>
  </si>
  <si>
    <t>FABRICATION &amp; ERECTION  RA 01</t>
  </si>
  <si>
    <t>RIL JAMNAGAR</t>
  </si>
  <si>
    <t>THERMAX</t>
  </si>
  <si>
    <t>GJ/2025-26/29</t>
  </si>
  <si>
    <t>CRANE HIRING CHARGE RA 01</t>
  </si>
  <si>
    <t>GJ/2025-26/30</t>
  </si>
  <si>
    <t>FABRICATION SHEED RA 01</t>
  </si>
  <si>
    <t xml:space="preserve">   GUJARAT GST  SANTHOSH FABRICATORS PVT. LTD.FY 2025-26</t>
  </si>
  <si>
    <t>SR NO.</t>
  </si>
  <si>
    <t xml:space="preserve">     PO NO</t>
  </si>
  <si>
    <t>INVIOCE DATE</t>
  </si>
  <si>
    <t>INVOCE NO.</t>
  </si>
  <si>
    <t>INVOCE AMOUNT</t>
  </si>
  <si>
    <t>BSIC AMOUNT</t>
  </si>
  <si>
    <t>SERVICE TAX AMOUNT</t>
  </si>
  <si>
    <t>TDS</t>
  </si>
  <si>
    <t>RETENTION</t>
  </si>
  <si>
    <t>PAYMENT RECEIVED AMOUNT</t>
  </si>
  <si>
    <t>RECEIVED CHEQUE IN TOTAL</t>
  </si>
  <si>
    <t>RECEIVED DATED</t>
  </si>
  <si>
    <t>REMAKS</t>
  </si>
  <si>
    <t>Description</t>
  </si>
  <si>
    <t xml:space="preserve">SITE NAME </t>
  </si>
  <si>
    <t>Company Name</t>
  </si>
  <si>
    <t>25.09.25</t>
  </si>
  <si>
    <t>GJ/2025-26/39</t>
  </si>
  <si>
    <t>FABRICATION &amp; ERECTION  RA 02</t>
  </si>
  <si>
    <t>GJ/2025-26/40</t>
  </si>
  <si>
    <t>MODIFICATION WORK RA 01</t>
  </si>
  <si>
    <t>GJ/2025-26/41</t>
  </si>
  <si>
    <t>MATERIAL (PLATE) SUPPLY RA 01</t>
  </si>
  <si>
    <t>22.09.25/01.10.25</t>
  </si>
  <si>
    <t>17.10.25/29.10.25</t>
  </si>
  <si>
    <t>Updated Date</t>
  </si>
  <si>
    <t>25.11.25</t>
  </si>
  <si>
    <t>Balance Amount</t>
  </si>
  <si>
    <t>GST released</t>
  </si>
  <si>
    <t>21.11.25/25.11.25</t>
  </si>
  <si>
    <t>GJ/2025-26/50</t>
  </si>
  <si>
    <t>MODIFICATION WORK RA 02</t>
  </si>
  <si>
    <t>GJ/2025-26/51</t>
  </si>
  <si>
    <t>BOOM/MANLIFTER RA 01</t>
  </si>
  <si>
    <t>GJ/2025-26/52</t>
  </si>
  <si>
    <t>LABOUR CHARGES FOR FAB. &amp; ERE. RA 01</t>
  </si>
  <si>
    <t>22.12.25</t>
  </si>
  <si>
    <t>GST HOLD</t>
  </si>
  <si>
    <t>23.12.25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</si>
</sst>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8" fillId="2" borderId="9" xfId="0" applyFont="1" applyFill="1" applyBorder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6" fillId="5" borderId="0" xfId="0" applyFont="1" applyFill="1"/>
    <xf numFmtId="0" fontId="0" fillId="0" borderId="12" xfId="0" applyBorder="1"/>
    <xf numFmtId="0" fontId="0" fillId="0" borderId="13" xfId="0" applyBorder="1"/>
    <xf numFmtId="0" fontId="2" fillId="3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2" fontId="6" fillId="5" borderId="13" xfId="0" applyNumberFormat="1" applyFont="1" applyFill="1" applyBorder="1" applyAlignment="1">
      <alignment horizontal="left"/>
    </xf>
    <xf numFmtId="0" fontId="0" fillId="5" borderId="1" xfId="0" applyFill="1" applyBorder="1"/>
    <xf numFmtId="0" fontId="0" fillId="6" borderId="8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2" fillId="6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/>
    <xf numFmtId="0" fontId="7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2" fontId="0" fillId="2" borderId="0" xfId="0" applyNumberFormat="1" applyFill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164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2" fontId="0" fillId="7" borderId="1" xfId="0" applyNumberFormat="1" applyFill="1" applyBorder="1"/>
    <xf numFmtId="0" fontId="2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0" fillId="7" borderId="0" xfId="0" applyFill="1"/>
    <xf numFmtId="0" fontId="9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59CA-5C2D-F243-9233-B1AA73F9DFB1}">
  <dimension ref="A1:P19"/>
  <sheetViews>
    <sheetView tabSelected="1" topLeftCell="B1" workbookViewId="0">
      <selection activeCell="D24" sqref="D24"/>
    </sheetView>
  </sheetViews>
  <sheetFormatPr baseColWidth="10" defaultRowHeight="16" x14ac:dyDescent="0.2"/>
  <cols>
    <col min="4" max="4" width="16.33203125" customWidth="1"/>
    <col min="12" max="12" width="20" customWidth="1"/>
    <col min="13" max="13" width="34.83203125" customWidth="1"/>
    <col min="14" max="14" width="30" customWidth="1"/>
    <col min="15" max="15" width="22.1640625" customWidth="1"/>
  </cols>
  <sheetData>
    <row r="1" spans="1:16" s="1" customFormat="1" ht="18" customHeight="1" x14ac:dyDescent="0.2">
      <c r="A1" s="53" t="s">
        <v>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</row>
    <row r="2" spans="1:16" s="4" customFormat="1" ht="39" customHeight="1" x14ac:dyDescent="0.2">
      <c r="A2" s="6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7" t="s">
        <v>25</v>
      </c>
    </row>
    <row r="3" spans="1:16" x14ac:dyDescent="0.2">
      <c r="A3" s="8"/>
      <c r="P3" s="9"/>
    </row>
    <row r="4" spans="1:16" x14ac:dyDescent="0.2">
      <c r="A4" s="28">
        <v>28</v>
      </c>
      <c r="B4" s="29">
        <v>204782</v>
      </c>
      <c r="C4" s="30" t="s">
        <v>0</v>
      </c>
      <c r="D4" s="31" t="s">
        <v>1</v>
      </c>
      <c r="E4" s="32">
        <v>1218232</v>
      </c>
      <c r="F4" s="33">
        <f t="shared" ref="F4:F12" si="0">E4*100/118</f>
        <v>1032400</v>
      </c>
      <c r="G4" s="34">
        <f t="shared" ref="G4:G12" si="1">E4-F4</f>
        <v>185832</v>
      </c>
      <c r="H4" s="32">
        <f>F4*2%</f>
        <v>20648</v>
      </c>
      <c r="I4" s="32">
        <f>F4*10%</f>
        <v>103240</v>
      </c>
      <c r="J4" s="32">
        <f>E4-H4-I4</f>
        <v>1094344</v>
      </c>
      <c r="K4" s="35">
        <f>J4-G4+185832</f>
        <v>1094344</v>
      </c>
      <c r="L4" s="32" t="s">
        <v>34</v>
      </c>
      <c r="M4" s="32" t="s">
        <v>38</v>
      </c>
      <c r="N4" s="36" t="s">
        <v>2</v>
      </c>
      <c r="O4" s="37" t="s">
        <v>3</v>
      </c>
      <c r="P4" s="10" t="s">
        <v>4</v>
      </c>
    </row>
    <row r="5" spans="1:16" x14ac:dyDescent="0.2">
      <c r="A5" s="28">
        <v>29</v>
      </c>
      <c r="B5" s="29">
        <v>205095</v>
      </c>
      <c r="C5" s="30" t="s">
        <v>0</v>
      </c>
      <c r="D5" s="31" t="s">
        <v>5</v>
      </c>
      <c r="E5" s="32">
        <v>194700</v>
      </c>
      <c r="F5" s="33">
        <f t="shared" si="0"/>
        <v>165000</v>
      </c>
      <c r="G5" s="34">
        <f t="shared" si="1"/>
        <v>29700</v>
      </c>
      <c r="H5" s="32">
        <f t="shared" ref="H5:H7" si="2">F5*2%</f>
        <v>3300</v>
      </c>
      <c r="I5" s="32"/>
      <c r="J5" s="35">
        <f>E5-H5-I5-G5</f>
        <v>161700</v>
      </c>
      <c r="K5" s="56">
        <f>441000+81000</f>
        <v>522000</v>
      </c>
      <c r="L5" s="56" t="s">
        <v>33</v>
      </c>
      <c r="M5" s="32" t="s">
        <v>38</v>
      </c>
      <c r="N5" s="36" t="s">
        <v>6</v>
      </c>
      <c r="O5" s="37" t="s">
        <v>3</v>
      </c>
      <c r="P5" s="10" t="s">
        <v>4</v>
      </c>
    </row>
    <row r="6" spans="1:16" x14ac:dyDescent="0.2">
      <c r="A6" s="28">
        <v>30</v>
      </c>
      <c r="B6" s="29">
        <v>206221</v>
      </c>
      <c r="C6" s="30" t="s">
        <v>0</v>
      </c>
      <c r="D6" s="31" t="s">
        <v>7</v>
      </c>
      <c r="E6" s="32">
        <v>336300</v>
      </c>
      <c r="F6" s="33">
        <f t="shared" si="0"/>
        <v>285000</v>
      </c>
      <c r="G6" s="34">
        <f t="shared" si="1"/>
        <v>51300</v>
      </c>
      <c r="H6" s="32">
        <f t="shared" si="2"/>
        <v>5700</v>
      </c>
      <c r="I6" s="32"/>
      <c r="J6" s="35">
        <f>E6-H6-I6-G6</f>
        <v>279300</v>
      </c>
      <c r="K6" s="57"/>
      <c r="L6" s="57"/>
      <c r="M6" s="32" t="s">
        <v>38</v>
      </c>
      <c r="N6" s="36" t="s">
        <v>8</v>
      </c>
      <c r="O6" s="37" t="s">
        <v>3</v>
      </c>
      <c r="P6" s="10" t="s">
        <v>4</v>
      </c>
    </row>
    <row r="7" spans="1:16" x14ac:dyDescent="0.2">
      <c r="A7" s="28">
        <v>39</v>
      </c>
      <c r="B7" s="29">
        <v>204782</v>
      </c>
      <c r="C7" s="30" t="s">
        <v>26</v>
      </c>
      <c r="D7" s="31" t="s">
        <v>27</v>
      </c>
      <c r="E7" s="32">
        <v>696436</v>
      </c>
      <c r="F7" s="33">
        <f t="shared" si="0"/>
        <v>590200</v>
      </c>
      <c r="G7" s="34">
        <f t="shared" si="1"/>
        <v>106236</v>
      </c>
      <c r="H7" s="32">
        <f t="shared" si="2"/>
        <v>11804</v>
      </c>
      <c r="I7" s="32">
        <f t="shared" ref="I7" si="3">F7*10%</f>
        <v>59020</v>
      </c>
      <c r="J7" s="32">
        <f t="shared" ref="J7:J12" si="4">E7-H7-I7</f>
        <v>625612</v>
      </c>
      <c r="K7" s="35">
        <f>J7-G7+G7</f>
        <v>625612</v>
      </c>
      <c r="L7" s="32" t="s">
        <v>39</v>
      </c>
      <c r="M7" s="32" t="s">
        <v>38</v>
      </c>
      <c r="N7" s="36" t="s">
        <v>28</v>
      </c>
      <c r="O7" s="37" t="s">
        <v>3</v>
      </c>
      <c r="P7" s="10" t="s">
        <v>4</v>
      </c>
    </row>
    <row r="8" spans="1:16" s="69" customFormat="1" x14ac:dyDescent="0.2">
      <c r="A8" s="58">
        <v>40</v>
      </c>
      <c r="B8" s="59">
        <v>209633</v>
      </c>
      <c r="C8" s="60" t="s">
        <v>26</v>
      </c>
      <c r="D8" s="61" t="s">
        <v>29</v>
      </c>
      <c r="E8" s="62">
        <v>480565.74</v>
      </c>
      <c r="F8" s="63">
        <f t="shared" si="0"/>
        <v>407259.10169491527</v>
      </c>
      <c r="G8" s="64">
        <f t="shared" si="1"/>
        <v>73306.638305084722</v>
      </c>
      <c r="H8" s="62">
        <f>F8*2%</f>
        <v>8145.1820338983052</v>
      </c>
      <c r="I8" s="62"/>
      <c r="J8" s="62">
        <f t="shared" si="4"/>
        <v>472420.55796610168</v>
      </c>
      <c r="K8" s="65">
        <f>J8-G8</f>
        <v>399113.91966101696</v>
      </c>
      <c r="L8" s="62" t="s">
        <v>46</v>
      </c>
      <c r="M8" s="62" t="s">
        <v>47</v>
      </c>
      <c r="N8" s="66" t="s">
        <v>30</v>
      </c>
      <c r="O8" s="67" t="s">
        <v>3</v>
      </c>
      <c r="P8" s="68" t="s">
        <v>4</v>
      </c>
    </row>
    <row r="9" spans="1:16" x14ac:dyDescent="0.2">
      <c r="A9" s="28">
        <v>41</v>
      </c>
      <c r="B9" s="29">
        <v>209267</v>
      </c>
      <c r="C9" s="30" t="s">
        <v>26</v>
      </c>
      <c r="D9" s="31" t="s">
        <v>31</v>
      </c>
      <c r="E9" s="32">
        <v>135700.44</v>
      </c>
      <c r="F9" s="33">
        <f t="shared" si="0"/>
        <v>115000.37288135593</v>
      </c>
      <c r="G9" s="34">
        <f t="shared" si="1"/>
        <v>20700.067118644074</v>
      </c>
      <c r="H9" s="32"/>
      <c r="I9" s="32"/>
      <c r="J9" s="32">
        <f t="shared" si="4"/>
        <v>135700.44</v>
      </c>
      <c r="K9" s="35">
        <f>J9</f>
        <v>135700.44</v>
      </c>
      <c r="L9" s="32" t="s">
        <v>36</v>
      </c>
      <c r="M9" s="32"/>
      <c r="N9" s="38" t="s">
        <v>32</v>
      </c>
      <c r="O9" s="37" t="s">
        <v>3</v>
      </c>
      <c r="P9" s="39" t="s">
        <v>4</v>
      </c>
    </row>
    <row r="10" spans="1:16" x14ac:dyDescent="0.2">
      <c r="A10" s="40">
        <v>50</v>
      </c>
      <c r="B10" s="40">
        <v>209633</v>
      </c>
      <c r="C10" s="41" t="s">
        <v>36</v>
      </c>
      <c r="D10" s="42" t="s">
        <v>40</v>
      </c>
      <c r="E10" s="43">
        <v>228011.4</v>
      </c>
      <c r="F10" s="44">
        <f t="shared" si="0"/>
        <v>193230</v>
      </c>
      <c r="G10" s="45">
        <f t="shared" si="1"/>
        <v>34781.399999999994</v>
      </c>
      <c r="H10" s="27">
        <f>F10*2%</f>
        <v>3864.6</v>
      </c>
      <c r="I10" s="27">
        <f>F10*10%</f>
        <v>19323</v>
      </c>
      <c r="J10" s="27">
        <f t="shared" si="4"/>
        <v>204823.8</v>
      </c>
      <c r="K10" s="43"/>
      <c r="L10" s="43" t="s">
        <v>46</v>
      </c>
      <c r="M10" s="43"/>
      <c r="N10" s="46" t="s">
        <v>41</v>
      </c>
      <c r="O10" s="47" t="s">
        <v>3</v>
      </c>
      <c r="P10" s="47" t="s">
        <v>4</v>
      </c>
    </row>
    <row r="11" spans="1:16" x14ac:dyDescent="0.2">
      <c r="A11" s="40">
        <v>51</v>
      </c>
      <c r="B11" s="40">
        <v>210056</v>
      </c>
      <c r="C11" s="41" t="s">
        <v>36</v>
      </c>
      <c r="D11" s="42" t="s">
        <v>42</v>
      </c>
      <c r="E11" s="43">
        <v>118000</v>
      </c>
      <c r="F11" s="44">
        <f t="shared" si="0"/>
        <v>100000</v>
      </c>
      <c r="G11" s="45">
        <f t="shared" si="1"/>
        <v>18000</v>
      </c>
      <c r="H11" s="27">
        <f t="shared" ref="H11:H12" si="5">F11*2%</f>
        <v>2000</v>
      </c>
      <c r="I11" s="27">
        <f t="shared" ref="I11" si="6">F11*10%</f>
        <v>10000</v>
      </c>
      <c r="J11" s="27">
        <f t="shared" si="4"/>
        <v>106000</v>
      </c>
      <c r="K11" s="43"/>
      <c r="L11" s="43"/>
      <c r="M11" s="43"/>
      <c r="N11" s="46" t="s">
        <v>43</v>
      </c>
      <c r="O11" s="47" t="s">
        <v>3</v>
      </c>
      <c r="P11" s="47" t="s">
        <v>4</v>
      </c>
    </row>
    <row r="12" spans="1:16" s="69" customFormat="1" x14ac:dyDescent="0.2">
      <c r="A12" s="59">
        <v>52</v>
      </c>
      <c r="B12" s="59">
        <v>211435</v>
      </c>
      <c r="C12" s="60" t="s">
        <v>36</v>
      </c>
      <c r="D12" s="61" t="s">
        <v>44</v>
      </c>
      <c r="E12" s="62">
        <v>149582.98000000001</v>
      </c>
      <c r="F12" s="63">
        <f t="shared" si="0"/>
        <v>126765.23728813561</v>
      </c>
      <c r="G12" s="64">
        <f t="shared" si="1"/>
        <v>22817.742711864397</v>
      </c>
      <c r="H12" s="62">
        <f t="shared" si="5"/>
        <v>2535.3047457627122</v>
      </c>
      <c r="I12" s="62"/>
      <c r="J12" s="62">
        <f t="shared" si="4"/>
        <v>147047.67525423729</v>
      </c>
      <c r="K12" s="65">
        <f>J12-G12</f>
        <v>124229.93254237289</v>
      </c>
      <c r="L12" s="62" t="s">
        <v>46</v>
      </c>
      <c r="M12" s="62" t="s">
        <v>47</v>
      </c>
      <c r="N12" s="66" t="s">
        <v>45</v>
      </c>
      <c r="O12" s="70" t="s">
        <v>3</v>
      </c>
      <c r="P12" s="70" t="s">
        <v>4</v>
      </c>
    </row>
    <row r="13" spans="1:16" s="51" customFormat="1" x14ac:dyDescent="0.2">
      <c r="A13" s="48"/>
      <c r="B13" s="49"/>
      <c r="C13" s="50"/>
      <c r="D13" s="4"/>
      <c r="F13" s="21"/>
      <c r="G13" s="22"/>
      <c r="K13" s="52"/>
      <c r="N13" s="23"/>
      <c r="O13" s="24"/>
      <c r="P13" s="25"/>
    </row>
    <row r="14" spans="1:16" s="51" customFormat="1" x14ac:dyDescent="0.2">
      <c r="A14" s="48"/>
      <c r="B14" s="49"/>
      <c r="C14" s="50"/>
      <c r="D14" s="4"/>
      <c r="F14" s="21"/>
      <c r="G14" s="22"/>
      <c r="K14" s="52"/>
      <c r="N14" s="23"/>
      <c r="O14" s="24"/>
      <c r="P14" s="25"/>
    </row>
    <row r="15" spans="1:16" x14ac:dyDescent="0.2">
      <c r="A15" s="18"/>
      <c r="B15" s="19"/>
      <c r="C15" s="20"/>
      <c r="D15" s="4"/>
      <c r="F15" s="21"/>
      <c r="G15" s="22"/>
      <c r="N15" s="23"/>
      <c r="O15" s="24"/>
      <c r="P15" s="25"/>
    </row>
    <row r="16" spans="1:16" x14ac:dyDescent="0.2">
      <c r="A16" s="8"/>
      <c r="J16" s="11">
        <f>SUM(J4:J14)</f>
        <v>3226948.473220339</v>
      </c>
      <c r="K16" s="11">
        <f>SUM(K4:K14)</f>
        <v>2901000.29220339</v>
      </c>
      <c r="L16" s="11"/>
      <c r="M16" s="12">
        <f>J16-K16</f>
        <v>325948.18101694901</v>
      </c>
      <c r="P16" s="9"/>
    </row>
    <row r="17" spans="1:16" x14ac:dyDescent="0.2">
      <c r="A17" s="8"/>
      <c r="J17" s="11"/>
      <c r="K17" s="12"/>
      <c r="L17" s="11"/>
      <c r="M17" s="12"/>
      <c r="P17" s="9"/>
    </row>
    <row r="18" spans="1:16" x14ac:dyDescent="0.2">
      <c r="A18" s="8"/>
      <c r="D18" s="5" t="s">
        <v>35</v>
      </c>
      <c r="E18" s="13" t="s">
        <v>48</v>
      </c>
      <c r="P18" s="9"/>
    </row>
    <row r="19" spans="1:16" ht="17" thickBot="1" x14ac:dyDescent="0.25">
      <c r="A19" s="14"/>
      <c r="B19" s="15"/>
      <c r="C19" s="15"/>
      <c r="D19" s="16" t="s">
        <v>37</v>
      </c>
      <c r="E19" s="26">
        <f>M16</f>
        <v>325948.18101694901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7"/>
    </row>
  </sheetData>
  <mergeCells count="3">
    <mergeCell ref="A1:P1"/>
    <mergeCell ref="K5:K6"/>
    <mergeCell ref="L5:L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dharmendra prasad</cp:lastModifiedBy>
  <dcterms:created xsi:type="dcterms:W3CDTF">2025-10-25T03:09:23Z</dcterms:created>
  <dcterms:modified xsi:type="dcterms:W3CDTF">2025-12-23T03:46:19Z</dcterms:modified>
</cp:coreProperties>
</file>