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840" windowHeight="8685"/>
  </bookViews>
  <sheets>
    <sheet name="Invoice" sheetId="23" r:id="rId1"/>
    <sheet name="Abs" sheetId="22" r:id="rId2"/>
    <sheet name="PAINTING" sheetId="24" r:id="rId3"/>
    <sheet name="MANPOWER" sheetId="25" r:id="rId4"/>
    <sheet name="PRE-FABRICATED STRUCTURE" sheetId="26" r:id="rId5"/>
    <sheet name="structure fab &amp; ere" sheetId="27" r:id="rId6"/>
    <sheet name="G.I " sheetId="28" r:id="rId7"/>
    <sheet name="Sheet1" sheetId="29" r:id="rId8"/>
  </sheets>
  <definedNames>
    <definedName name="_xlnm._FilterDatabase" localSheetId="1" hidden="1">Abs!$A$7:$M$219</definedName>
    <definedName name="_xlnm._FilterDatabase" localSheetId="5" hidden="1">'structure fab &amp; ere'!$A$3:$G$62</definedName>
  </definedNames>
  <calcPr calcId="124519"/>
</workbook>
</file>

<file path=xl/calcChain.xml><?xml version="1.0" encoding="utf-8"?>
<calcChain xmlns="http://schemas.openxmlformats.org/spreadsheetml/2006/main">
  <c r="D12" i="26"/>
  <c r="H20" i="29"/>
  <c r="H18"/>
  <c r="M18"/>
  <c r="I22" i="22"/>
  <c r="L22"/>
  <c r="I23"/>
  <c r="L23"/>
  <c r="I24"/>
  <c r="L24"/>
  <c r="I25"/>
  <c r="L25"/>
  <c r="F3" i="28"/>
  <c r="F2"/>
  <c r="F4"/>
  <c r="E61" i="27"/>
  <c r="F61"/>
  <c r="F60"/>
  <c r="F59"/>
  <c r="F31"/>
  <c r="F30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4"/>
  <c r="F5"/>
  <c r="F62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G12" i="25"/>
  <c r="F12"/>
  <c r="E12"/>
  <c r="D12"/>
  <c r="D18" i="26"/>
  <c r="D19"/>
  <c r="C5" i="24"/>
  <c r="C6"/>
  <c r="C9"/>
  <c r="I57" i="22"/>
  <c r="L57"/>
  <c r="K16"/>
  <c r="I17"/>
  <c r="L17"/>
  <c r="I19"/>
  <c r="L19"/>
  <c r="I20"/>
  <c r="L20"/>
  <c r="I15"/>
  <c r="L15"/>
  <c r="J75"/>
  <c r="K13"/>
  <c r="K18"/>
  <c r="J13"/>
  <c r="I75"/>
  <c r="L75"/>
  <c r="F73"/>
  <c r="J126"/>
  <c r="K126"/>
  <c r="J125"/>
  <c r="K125"/>
  <c r="J144"/>
  <c r="J145"/>
  <c r="F10"/>
  <c r="F11"/>
  <c r="F13"/>
  <c r="F15"/>
  <c r="F16"/>
  <c r="F17"/>
  <c r="F18"/>
  <c r="F19"/>
  <c r="F20"/>
  <c r="F22"/>
  <c r="F23"/>
  <c r="F24"/>
  <c r="F25"/>
  <c r="F27"/>
  <c r="F28"/>
  <c r="F30"/>
  <c r="F31"/>
  <c r="F33"/>
  <c r="F35"/>
  <c r="F36"/>
  <c r="F38"/>
  <c r="F39"/>
  <c r="F40"/>
  <c r="F41"/>
  <c r="F43"/>
  <c r="F45"/>
  <c r="F47"/>
  <c r="F49"/>
  <c r="F51"/>
  <c r="F52"/>
  <c r="F53"/>
  <c r="F55"/>
  <c r="F56"/>
  <c r="F57"/>
  <c r="F60"/>
  <c r="F62"/>
  <c r="F63"/>
  <c r="F64"/>
  <c r="F65"/>
  <c r="F67"/>
  <c r="F68"/>
  <c r="F69"/>
  <c r="F71"/>
  <c r="F75"/>
  <c r="F77"/>
  <c r="F78"/>
  <c r="F79"/>
  <c r="F80"/>
  <c r="F81"/>
  <c r="F83"/>
  <c r="F85"/>
  <c r="F86"/>
  <c r="F87"/>
  <c r="F89"/>
  <c r="F90"/>
  <c r="F91"/>
  <c r="F93"/>
  <c r="F94"/>
  <c r="F95"/>
  <c r="F97"/>
  <c r="F98"/>
  <c r="F99"/>
  <c r="F100"/>
  <c r="F101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2"/>
  <c r="F123"/>
  <c r="F125"/>
  <c r="F126"/>
  <c r="F128"/>
  <c r="F129"/>
  <c r="F130"/>
  <c r="F132"/>
  <c r="F133"/>
  <c r="F134"/>
  <c r="F135"/>
  <c r="F137"/>
  <c r="F138"/>
  <c r="F139"/>
  <c r="F140"/>
  <c r="F142"/>
  <c r="F143"/>
  <c r="F144"/>
  <c r="F145"/>
  <c r="F147"/>
  <c r="F148"/>
  <c r="F149"/>
  <c r="F151"/>
  <c r="F152"/>
  <c r="F153"/>
  <c r="F155"/>
  <c r="F156"/>
  <c r="F157"/>
  <c r="F159"/>
  <c r="F160"/>
  <c r="F162"/>
  <c r="F163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I55"/>
  <c r="L55"/>
  <c r="I56"/>
  <c r="L56"/>
  <c r="I58"/>
  <c r="L58"/>
  <c r="I60"/>
  <c r="L60"/>
  <c r="I62"/>
  <c r="L62"/>
  <c r="I63"/>
  <c r="L63"/>
  <c r="I64"/>
  <c r="L64"/>
  <c r="I65"/>
  <c r="L65"/>
  <c r="I67"/>
  <c r="L67"/>
  <c r="I68"/>
  <c r="L68"/>
  <c r="I69"/>
  <c r="L69"/>
  <c r="I71"/>
  <c r="L71"/>
  <c r="I73"/>
  <c r="L73"/>
  <c r="I77"/>
  <c r="L77"/>
  <c r="I78"/>
  <c r="L78"/>
  <c r="I79"/>
  <c r="L79"/>
  <c r="I80"/>
  <c r="L80"/>
  <c r="I81"/>
  <c r="L81"/>
  <c r="I83"/>
  <c r="L83"/>
  <c r="I85"/>
  <c r="L85"/>
  <c r="I86"/>
  <c r="L86"/>
  <c r="I87"/>
  <c r="L87"/>
  <c r="I89"/>
  <c r="L89"/>
  <c r="I90"/>
  <c r="L90"/>
  <c r="I91"/>
  <c r="L91"/>
  <c r="I93"/>
  <c r="L93"/>
  <c r="I94"/>
  <c r="L94"/>
  <c r="I95"/>
  <c r="L95"/>
  <c r="I97"/>
  <c r="L97"/>
  <c r="I98"/>
  <c r="L98"/>
  <c r="I99"/>
  <c r="L99"/>
  <c r="I100"/>
  <c r="L100"/>
  <c r="I101"/>
  <c r="L101"/>
  <c r="I104"/>
  <c r="L104"/>
  <c r="I105"/>
  <c r="L105"/>
  <c r="I106"/>
  <c r="L106"/>
  <c r="I107"/>
  <c r="L107"/>
  <c r="I108"/>
  <c r="L108"/>
  <c r="I109"/>
  <c r="L109"/>
  <c r="I110"/>
  <c r="L110"/>
  <c r="I111"/>
  <c r="L111"/>
  <c r="I112"/>
  <c r="L112"/>
  <c r="I113"/>
  <c r="L113"/>
  <c r="I114"/>
  <c r="L114"/>
  <c r="I115"/>
  <c r="L115"/>
  <c r="I116"/>
  <c r="L116"/>
  <c r="I117"/>
  <c r="L117"/>
  <c r="I118"/>
  <c r="L118"/>
  <c r="I119"/>
  <c r="L119"/>
  <c r="I120"/>
  <c r="L120"/>
  <c r="I122"/>
  <c r="L122"/>
  <c r="L123"/>
  <c r="I125"/>
  <c r="L125"/>
  <c r="I126"/>
  <c r="L126"/>
  <c r="I128"/>
  <c r="L128"/>
  <c r="I129"/>
  <c r="L129"/>
  <c r="I130"/>
  <c r="L130"/>
  <c r="I132"/>
  <c r="L132"/>
  <c r="I133"/>
  <c r="L133"/>
  <c r="I134"/>
  <c r="L134"/>
  <c r="I135"/>
  <c r="L135"/>
  <c r="I137"/>
  <c r="L137"/>
  <c r="I138"/>
  <c r="L138"/>
  <c r="I139"/>
  <c r="L139"/>
  <c r="I140"/>
  <c r="L140"/>
  <c r="I142"/>
  <c r="L142"/>
  <c r="I143"/>
  <c r="L143"/>
  <c r="I144"/>
  <c r="L144"/>
  <c r="I145"/>
  <c r="L145"/>
  <c r="I147"/>
  <c r="L147"/>
  <c r="I148"/>
  <c r="L148"/>
  <c r="I149"/>
  <c r="L149"/>
  <c r="I151"/>
  <c r="L151"/>
  <c r="I152"/>
  <c r="L152"/>
  <c r="I153"/>
  <c r="L153"/>
  <c r="I155"/>
  <c r="L155"/>
  <c r="I156"/>
  <c r="L156"/>
  <c r="I157"/>
  <c r="L157"/>
  <c r="I159"/>
  <c r="L159"/>
  <c r="I160"/>
  <c r="L160"/>
  <c r="I162"/>
  <c r="L162"/>
  <c r="I163"/>
  <c r="L163"/>
  <c r="I165"/>
  <c r="L165"/>
  <c r="I166"/>
  <c r="L166"/>
  <c r="I167"/>
  <c r="L167"/>
  <c r="I168"/>
  <c r="L168"/>
  <c r="I169"/>
  <c r="L169"/>
  <c r="I170"/>
  <c r="L170"/>
  <c r="I171"/>
  <c r="L171"/>
  <c r="I172"/>
  <c r="L172"/>
  <c r="I173"/>
  <c r="L173"/>
  <c r="I174"/>
  <c r="L174"/>
  <c r="I175"/>
  <c r="L175"/>
  <c r="I176"/>
  <c r="L176"/>
  <c r="I177"/>
  <c r="L177"/>
  <c r="I178"/>
  <c r="L178"/>
  <c r="I179"/>
  <c r="L179"/>
  <c r="I180"/>
  <c r="L180"/>
  <c r="I181"/>
  <c r="L181"/>
  <c r="I182"/>
  <c r="L182"/>
  <c r="I185"/>
  <c r="L185"/>
  <c r="I186"/>
  <c r="L186"/>
  <c r="I187"/>
  <c r="L187"/>
  <c r="I188"/>
  <c r="L188"/>
  <c r="I189"/>
  <c r="L189"/>
  <c r="I190"/>
  <c r="L190"/>
  <c r="I191"/>
  <c r="L191"/>
  <c r="I192"/>
  <c r="L192"/>
  <c r="I193"/>
  <c r="L193"/>
  <c r="I194"/>
  <c r="L194"/>
  <c r="I195"/>
  <c r="L195"/>
  <c r="I196"/>
  <c r="L196"/>
  <c r="I197"/>
  <c r="L197"/>
  <c r="I198"/>
  <c r="L198"/>
  <c r="I199"/>
  <c r="L199"/>
  <c r="I200"/>
  <c r="L200"/>
  <c r="I201"/>
  <c r="L201"/>
  <c r="I202"/>
  <c r="L202"/>
  <c r="I203"/>
  <c r="L203"/>
  <c r="I204"/>
  <c r="L204"/>
  <c r="I205"/>
  <c r="L205"/>
  <c r="I206"/>
  <c r="L206"/>
  <c r="I207"/>
  <c r="L207"/>
  <c r="I208"/>
  <c r="L208"/>
  <c r="I209"/>
  <c r="L209"/>
  <c r="I210"/>
  <c r="L210"/>
  <c r="I211"/>
  <c r="L211"/>
  <c r="I212"/>
  <c r="L212"/>
  <c r="I213"/>
  <c r="L213"/>
  <c r="I214"/>
  <c r="L214"/>
  <c r="I215"/>
  <c r="L215"/>
  <c r="I216"/>
  <c r="L216"/>
  <c r="I217"/>
  <c r="L217"/>
  <c r="I218"/>
  <c r="L218"/>
  <c r="J62"/>
  <c r="K62"/>
  <c r="D58"/>
  <c r="F58"/>
  <c r="J170"/>
  <c r="K170"/>
  <c r="J171"/>
  <c r="K171"/>
  <c r="J172"/>
  <c r="K172"/>
  <c r="J173"/>
  <c r="K173"/>
  <c r="J174"/>
  <c r="K174"/>
  <c r="J175"/>
  <c r="K175"/>
  <c r="J176"/>
  <c r="K176"/>
  <c r="J177"/>
  <c r="K177"/>
  <c r="J178"/>
  <c r="K178"/>
  <c r="J179"/>
  <c r="K179"/>
  <c r="J180"/>
  <c r="K180"/>
  <c r="J181"/>
  <c r="K181"/>
  <c r="J182"/>
  <c r="K182"/>
  <c r="J185"/>
  <c r="K185"/>
  <c r="J186"/>
  <c r="K186"/>
  <c r="J187"/>
  <c r="K187"/>
  <c r="J188"/>
  <c r="K188"/>
  <c r="J189"/>
  <c r="K189"/>
  <c r="J190"/>
  <c r="K190"/>
  <c r="J191"/>
  <c r="K191"/>
  <c r="J192"/>
  <c r="K192"/>
  <c r="J193"/>
  <c r="K193"/>
  <c r="J194"/>
  <c r="K194"/>
  <c r="J195"/>
  <c r="K195"/>
  <c r="J196"/>
  <c r="K196"/>
  <c r="J197"/>
  <c r="K197"/>
  <c r="J198"/>
  <c r="K198"/>
  <c r="J199"/>
  <c r="K199"/>
  <c r="J200"/>
  <c r="K200"/>
  <c r="J201"/>
  <c r="K201"/>
  <c r="J202"/>
  <c r="K202"/>
  <c r="J203"/>
  <c r="K203"/>
  <c r="J204"/>
  <c r="K204"/>
  <c r="J205"/>
  <c r="K205"/>
  <c r="J206"/>
  <c r="K206"/>
  <c r="J207"/>
  <c r="K207"/>
  <c r="J208"/>
  <c r="K208"/>
  <c r="J209"/>
  <c r="K209"/>
  <c r="J210"/>
  <c r="K210"/>
  <c r="J211"/>
  <c r="K211"/>
  <c r="J212"/>
  <c r="K212"/>
  <c r="J213"/>
  <c r="K213"/>
  <c r="J214"/>
  <c r="K214"/>
  <c r="J215"/>
  <c r="K215"/>
  <c r="J216"/>
  <c r="K216"/>
  <c r="J217"/>
  <c r="K217"/>
  <c r="J218"/>
  <c r="K218"/>
  <c r="K144"/>
  <c r="K169"/>
  <c r="J169"/>
  <c r="K168"/>
  <c r="J168"/>
  <c r="K167"/>
  <c r="J167"/>
  <c r="K166"/>
  <c r="J166"/>
  <c r="K165"/>
  <c r="J165"/>
  <c r="K163"/>
  <c r="J163"/>
  <c r="K162"/>
  <c r="J162"/>
  <c r="K160"/>
  <c r="J160"/>
  <c r="K159"/>
  <c r="J159"/>
  <c r="K157"/>
  <c r="J157"/>
  <c r="K156"/>
  <c r="J156"/>
  <c r="K155"/>
  <c r="J155"/>
  <c r="K153"/>
  <c r="J153"/>
  <c r="K152"/>
  <c r="J152"/>
  <c r="K151"/>
  <c r="J151"/>
  <c r="K149"/>
  <c r="J149"/>
  <c r="K148"/>
  <c r="J148"/>
  <c r="K147"/>
  <c r="J147"/>
  <c r="K145"/>
  <c r="J143"/>
  <c r="K143"/>
  <c r="K142"/>
  <c r="J142"/>
  <c r="K140"/>
  <c r="J140"/>
  <c r="K139"/>
  <c r="J139"/>
  <c r="K138"/>
  <c r="J138"/>
  <c r="K137"/>
  <c r="J137"/>
  <c r="K135"/>
  <c r="J135"/>
  <c r="K134"/>
  <c r="J134"/>
  <c r="K133"/>
  <c r="J133"/>
  <c r="K132"/>
  <c r="J132"/>
  <c r="K130"/>
  <c r="J130"/>
  <c r="K129"/>
  <c r="J129"/>
  <c r="K128"/>
  <c r="J128"/>
  <c r="K123"/>
  <c r="J123"/>
  <c r="K122"/>
  <c r="J122"/>
  <c r="K120"/>
  <c r="J120"/>
  <c r="K119"/>
  <c r="J119"/>
  <c r="K118"/>
  <c r="J118"/>
  <c r="K117"/>
  <c r="J117"/>
  <c r="K116"/>
  <c r="J116"/>
  <c r="K115"/>
  <c r="J115"/>
  <c r="K114"/>
  <c r="J114"/>
  <c r="K113"/>
  <c r="J113"/>
  <c r="K112"/>
  <c r="J112"/>
  <c r="K111"/>
  <c r="J111"/>
  <c r="K110"/>
  <c r="J110"/>
  <c r="K109"/>
  <c r="J109"/>
  <c r="K108"/>
  <c r="J108"/>
  <c r="K107"/>
  <c r="J107"/>
  <c r="K106"/>
  <c r="J106"/>
  <c r="K105"/>
  <c r="J105"/>
  <c r="K104"/>
  <c r="J104"/>
  <c r="K101"/>
  <c r="J101"/>
  <c r="K100"/>
  <c r="J100"/>
  <c r="K99"/>
  <c r="J99"/>
  <c r="K98"/>
  <c r="J98"/>
  <c r="K97"/>
  <c r="J97"/>
  <c r="K95"/>
  <c r="J95"/>
  <c r="K94"/>
  <c r="J94"/>
  <c r="K93"/>
  <c r="J93"/>
  <c r="K91"/>
  <c r="J91"/>
  <c r="K90"/>
  <c r="J90"/>
  <c r="K89"/>
  <c r="J89"/>
  <c r="K87"/>
  <c r="J87"/>
  <c r="K86"/>
  <c r="J86"/>
  <c r="K85"/>
  <c r="J85"/>
  <c r="K83"/>
  <c r="J83"/>
  <c r="K81"/>
  <c r="J81"/>
  <c r="K80"/>
  <c r="J80"/>
  <c r="K79"/>
  <c r="J79"/>
  <c r="K78"/>
  <c r="J78"/>
  <c r="K77"/>
  <c r="J77"/>
  <c r="K75"/>
  <c r="K73"/>
  <c r="J73"/>
  <c r="K71"/>
  <c r="J71"/>
  <c r="K69"/>
  <c r="J69"/>
  <c r="K68"/>
  <c r="J68"/>
  <c r="K67"/>
  <c r="J67"/>
  <c r="K65"/>
  <c r="J65"/>
  <c r="K64"/>
  <c r="J64"/>
  <c r="K63"/>
  <c r="J63"/>
  <c r="K60"/>
  <c r="J60"/>
  <c r="K58"/>
  <c r="J58"/>
  <c r="J57"/>
  <c r="K56"/>
  <c r="J56"/>
  <c r="K55"/>
  <c r="J55"/>
  <c r="K53"/>
  <c r="J53"/>
  <c r="I53"/>
  <c r="L53"/>
  <c r="K52"/>
  <c r="J52"/>
  <c r="I52"/>
  <c r="L52"/>
  <c r="K51"/>
  <c r="J51"/>
  <c r="I51"/>
  <c r="L51"/>
  <c r="K49"/>
  <c r="J49"/>
  <c r="I49"/>
  <c r="L49"/>
  <c r="K47"/>
  <c r="J47"/>
  <c r="I47"/>
  <c r="L47"/>
  <c r="K45"/>
  <c r="J45"/>
  <c r="I45"/>
  <c r="L45"/>
  <c r="K43"/>
  <c r="J43"/>
  <c r="I43"/>
  <c r="L43"/>
  <c r="K41"/>
  <c r="J41"/>
  <c r="I41"/>
  <c r="L41"/>
  <c r="K40"/>
  <c r="J40"/>
  <c r="I40"/>
  <c r="L40"/>
  <c r="K39"/>
  <c r="J39"/>
  <c r="I39"/>
  <c r="L39"/>
  <c r="K38"/>
  <c r="J38"/>
  <c r="I38"/>
  <c r="L38"/>
  <c r="K36"/>
  <c r="J36"/>
  <c r="I36"/>
  <c r="L36"/>
  <c r="K35"/>
  <c r="J35"/>
  <c r="I35"/>
  <c r="L35"/>
  <c r="K33"/>
  <c r="J33"/>
  <c r="I33"/>
  <c r="L33"/>
  <c r="K31"/>
  <c r="J31"/>
  <c r="I31"/>
  <c r="L31"/>
  <c r="K30"/>
  <c r="J30"/>
  <c r="I30"/>
  <c r="L30"/>
  <c r="K28"/>
  <c r="J28"/>
  <c r="I28"/>
  <c r="L28"/>
  <c r="K27"/>
  <c r="J27"/>
  <c r="I27"/>
  <c r="L27"/>
  <c r="K25"/>
  <c r="J25"/>
  <c r="K24"/>
  <c r="J24"/>
  <c r="K23"/>
  <c r="J23"/>
  <c r="K22"/>
  <c r="J22"/>
  <c r="J20"/>
  <c r="J19"/>
  <c r="J18"/>
  <c r="J17"/>
  <c r="J16"/>
  <c r="K15"/>
  <c r="J15"/>
  <c r="I13"/>
  <c r="L13"/>
  <c r="K11"/>
  <c r="J11"/>
  <c r="I11"/>
  <c r="L11"/>
  <c r="K10"/>
  <c r="J10"/>
  <c r="I10"/>
  <c r="L10"/>
  <c r="K9"/>
  <c r="J9"/>
  <c r="I9"/>
  <c r="L9"/>
  <c r="F9"/>
  <c r="K57"/>
  <c r="I16"/>
  <c r="L16"/>
  <c r="I18"/>
  <c r="L18"/>
  <c r="K19"/>
  <c r="K20"/>
  <c r="K17"/>
  <c r="J219"/>
  <c r="L219"/>
  <c r="K219"/>
  <c r="G14" i="23"/>
  <c r="G26" s="1"/>
  <c r="F219" i="22"/>
  <c r="G28" i="23" l="1"/>
  <c r="G27"/>
  <c r="G29" s="1"/>
</calcChain>
</file>

<file path=xl/sharedStrings.xml><?xml version="1.0" encoding="utf-8"?>
<sst xmlns="http://schemas.openxmlformats.org/spreadsheetml/2006/main" count="693" uniqueCount="454">
  <si>
    <t>QTY</t>
  </si>
  <si>
    <t>SANTHOSH FABRICATORS PVT. LTD.</t>
  </si>
  <si>
    <t>CLIENT:</t>
  </si>
  <si>
    <t>Aquatech System (Asia) Pvt. Ltd.</t>
  </si>
  <si>
    <t>BILL NO:</t>
  </si>
  <si>
    <t xml:space="preserve">Project : </t>
  </si>
  <si>
    <t>SL.NO.</t>
  </si>
  <si>
    <t>DESCRIPTION</t>
  </si>
  <si>
    <t>PO /QTY</t>
  </si>
  <si>
    <t>RATE</t>
  </si>
  <si>
    <t>AMOUNT</t>
  </si>
  <si>
    <t>QUANTITY</t>
  </si>
  <si>
    <t>UOM</t>
  </si>
  <si>
    <t>UPTO PREV</t>
  </si>
  <si>
    <t>IN THIS BILL</t>
  </si>
  <si>
    <t>UPTO DATE</t>
  </si>
  <si>
    <t xml:space="preserve">UPTO  PREV </t>
  </si>
  <si>
    <t>Nos</t>
  </si>
  <si>
    <t>ANTHRACITE</t>
  </si>
  <si>
    <t>QUARTZ SAND</t>
  </si>
  <si>
    <t>GARNET SAND</t>
  </si>
  <si>
    <t>GRAVEL</t>
  </si>
  <si>
    <t>SWRO High pressure Pump with motor</t>
  </si>
  <si>
    <t>RO-ERD Booster Pump with motor</t>
  </si>
  <si>
    <t>ERD (Energy Recovery Unit)</t>
  </si>
  <si>
    <t>SWRO-Pressure Tube with victaulic coupling, saddle , strap etc.</t>
  </si>
  <si>
    <t>SWRO-Membranes</t>
  </si>
  <si>
    <t>Suck Bank tank</t>
  </si>
  <si>
    <t>BWRO Feed pump with motor</t>
  </si>
  <si>
    <t>Hydrophore</t>
  </si>
  <si>
    <t>BWRO HP-Pump with motor</t>
  </si>
  <si>
    <t>BWRO-Pressure Tube with victaulic coupling, saddle , strap etc.</t>
  </si>
  <si>
    <t>BWRO-Membranes</t>
  </si>
  <si>
    <t>Lime stone media</t>
  </si>
  <si>
    <t>Final Product water transfer pump with motor</t>
  </si>
  <si>
    <t>Lime stone Back wash Air blowers</t>
  </si>
  <si>
    <t>RO-CIP Preparation Tank</t>
  </si>
  <si>
    <t>Agiatator for RO-CIP Preparation Tank</t>
  </si>
  <si>
    <t>RO-CIP Chemical Transfer pump</t>
  </si>
  <si>
    <t xml:space="preserve">RO CIP Tank </t>
  </si>
  <si>
    <t>RO CIP PUMP</t>
  </si>
  <si>
    <t>RO -CIP Cartridge Filter</t>
  </si>
  <si>
    <t>Sludge Collection Transfer Pump</t>
  </si>
  <si>
    <t>N-PIT Transfer pump</t>
  </si>
  <si>
    <t>CO2 Storage tank with internal piping</t>
  </si>
  <si>
    <t>Vaporised skid with piping</t>
  </si>
  <si>
    <t xml:space="preserve"> Regrigeneration unit</t>
  </si>
  <si>
    <t>Carrier water Transfer pump</t>
  </si>
  <si>
    <t>Lot</t>
  </si>
  <si>
    <t>Air Compressor</t>
  </si>
  <si>
    <t>Air Dryer</t>
  </si>
  <si>
    <t>Prefilter, Post Filter, ACF</t>
  </si>
  <si>
    <t>Air Receiver Tank 10 m3</t>
  </si>
  <si>
    <t>The pneumatic Lime conveying system consists of below mentioned major structure, equipment, and associated piping, valve etc.</t>
  </si>
  <si>
    <t>Set</t>
  </si>
  <si>
    <t>Air Receiver Tank 1 m3</t>
  </si>
  <si>
    <t>Dense Phase Tranporter</t>
  </si>
  <si>
    <t>FeCl3 Bulk Storage Tank with ladder &amp; handrail</t>
  </si>
  <si>
    <t>FeCl3 Unloading CUM Transfer pump</t>
  </si>
  <si>
    <t>Fecl3 Dosing tank</t>
  </si>
  <si>
    <t>Fecl3 doing pump</t>
  </si>
  <si>
    <t>Polymer Dosing pump for Flocculator</t>
  </si>
  <si>
    <t>NOS</t>
  </si>
  <si>
    <t>Antiscalant Transfer pump</t>
  </si>
  <si>
    <t>Antiscalant dosing tank</t>
  </si>
  <si>
    <t>Antiscalant dosing pump-SWRO</t>
  </si>
  <si>
    <t>Antiscalant dosing pump-BWRO</t>
  </si>
  <si>
    <t>SBS Dosing tank</t>
  </si>
  <si>
    <t>SBS Dosing pump-SWRO</t>
  </si>
  <si>
    <t>Agitataor for SBS Dosing pump</t>
  </si>
  <si>
    <t>EYE Wash and Safety shower</t>
  </si>
  <si>
    <t>HCL Bluk storage tank with ladder &amp; Handrail</t>
  </si>
  <si>
    <t>HCL Unloading cum transfer pump</t>
  </si>
  <si>
    <t>HCL Dosing tank</t>
  </si>
  <si>
    <t>NAOH Bulk storage tank with ladder &amp; Handrail</t>
  </si>
  <si>
    <t>NAOH Dosing tank</t>
  </si>
  <si>
    <t>NAOH Dosing pump-BWRO</t>
  </si>
  <si>
    <t>NAOH-Dosing pump for Final product water</t>
  </si>
  <si>
    <t>NAOH Dosing pump for SWRO Product water</t>
  </si>
  <si>
    <t>NAOH Dosing pump for -N-PIT</t>
  </si>
  <si>
    <t>Biocide dosing tank</t>
  </si>
  <si>
    <t>Biocide dosing pump</t>
  </si>
  <si>
    <t>Fume Absorber</t>
  </si>
  <si>
    <t>PIPING</t>
  </si>
  <si>
    <t>Inch-dia</t>
  </si>
  <si>
    <t>Inch mtr</t>
  </si>
  <si>
    <t>Inch-mtr</t>
  </si>
  <si>
    <t>MONORAIL / EOT CRANE</t>
  </si>
  <si>
    <t>Fabrication and installation of Ladders Platforms, Pipe Rack, Pipe supports, Cable tray supports, Valve supports etc</t>
  </si>
  <si>
    <t>Ton</t>
  </si>
  <si>
    <t>Unloading and storage of material</t>
  </si>
  <si>
    <t>Expansion Bellow</t>
  </si>
  <si>
    <t xml:space="preserve">Civil Tank Wall Mounted Gate </t>
  </si>
  <si>
    <t>Days</t>
  </si>
  <si>
    <t>Pipe Tray for CPVC pipe</t>
  </si>
  <si>
    <t>50 Wide Ladder Type Cable Tray.</t>
  </si>
  <si>
    <t>Mtr</t>
  </si>
  <si>
    <t>150 Wide Ladder Type Cable Tray.</t>
  </si>
  <si>
    <t>300 Wide Ladder Type Cable Tray.</t>
  </si>
  <si>
    <t>600 Wide Ladder Type Cable Tray.</t>
  </si>
  <si>
    <t xml:space="preserve">TOTAL </t>
  </si>
  <si>
    <t>To,</t>
  </si>
  <si>
    <t>BILL No.</t>
  </si>
  <si>
    <t>AQUATECH SYSTEMS (ASIA) PVT. LTD.</t>
  </si>
  <si>
    <t>BILL DATE</t>
  </si>
  <si>
    <t xml:space="preserve">Work Order No. </t>
  </si>
  <si>
    <t>Work Order Date</t>
  </si>
  <si>
    <t>GSTN NO.</t>
  </si>
  <si>
    <r>
      <t xml:space="preserve">: </t>
    </r>
    <r>
      <rPr>
        <b/>
        <sz val="9"/>
        <rFont val="Arial"/>
        <family val="2"/>
      </rPr>
      <t>24AAQCS3102E1ZP</t>
    </r>
  </si>
  <si>
    <t>SAC NO.</t>
  </si>
  <si>
    <t>: 995442</t>
  </si>
  <si>
    <t>PAN NO.</t>
  </si>
  <si>
    <t>: AAQCS3102E</t>
  </si>
  <si>
    <t xml:space="preserve">RA </t>
  </si>
  <si>
    <t>SR.NO</t>
  </si>
  <si>
    <t>PU</t>
  </si>
  <si>
    <t>TOTAL AMOUNT</t>
  </si>
  <si>
    <t>TOTAL RECEIVABLE</t>
  </si>
  <si>
    <t>Rs.In Words</t>
  </si>
  <si>
    <t>For SANTHOSH FABRICATORS PVT. LTD.</t>
  </si>
  <si>
    <t>Authorised Signatory</t>
  </si>
  <si>
    <t xml:space="preserve"> THIS BILL</t>
  </si>
  <si>
    <t xml:space="preserve">BILL DATE </t>
  </si>
  <si>
    <t>E-10055-DW-MD-AE-002P1-P sheet 5 of 65</t>
  </si>
  <si>
    <t>Lamella clarifier</t>
  </si>
  <si>
    <t>Agiatator for Flash mixer basin-Motor will be  loose supply</t>
  </si>
  <si>
    <t>Agiatator for Flocculator basin basin-Motor will be  loose supply</t>
  </si>
  <si>
    <t>E-10055-DW-AE-002P1-P sheet 6 of 65</t>
  </si>
  <si>
    <t>Media filter feed pumps</t>
  </si>
  <si>
    <t>E-10055-DW-AE-002P1-P sheet 7 to 09 of 65</t>
  </si>
  <si>
    <t>Dual Media Filter  ( Installation and Alignment)</t>
  </si>
  <si>
    <t>E-10055-DW-AE-002P1-P sheet 10 to 12 of 65</t>
  </si>
  <si>
    <t>Pressure Sand Filter  ( Installation and Alignment)</t>
  </si>
  <si>
    <t>E-10055-DW-AE-002P1-P sheet 17 of 65</t>
  </si>
  <si>
    <t>DMF Backwash pump</t>
  </si>
  <si>
    <t>PSF Backwash pump</t>
  </si>
  <si>
    <t>E-10055-DW-AE-002P1-P sheet 18 of 65</t>
  </si>
  <si>
    <t>DMF Backwash Airblower</t>
  </si>
  <si>
    <t>PSF Backwash Airblower</t>
  </si>
  <si>
    <t>E-10055-DW-AE-002P1-P sheet 19 of 65</t>
  </si>
  <si>
    <t>SWRO Micron Cartridge filters</t>
  </si>
  <si>
    <t>E-10055-DW-AE-002P1-P sheet 20 of 65</t>
  </si>
  <si>
    <t>E-10055-DW-AE-002P1-P sheet 21 of 65</t>
  </si>
  <si>
    <t>E-10055-DW-AE-002P1-P sheet 24 of 65</t>
  </si>
  <si>
    <t>E-10055-DW-AE-002P1-P sheet 25 of 65</t>
  </si>
  <si>
    <t>SWRO Permeate water Transfer pump with motor</t>
  </si>
  <si>
    <t>AE-10055-DW-AE-002P1-P sheet 26 of 65</t>
  </si>
  <si>
    <t>BWRO Micron Cartridge filters</t>
  </si>
  <si>
    <t>AE-10055-DW-AE-002P1-P sheet 27 of 65</t>
  </si>
  <si>
    <t>AE-1087-DW-AE-002P1-P sheet 29 of 65</t>
  </si>
  <si>
    <t>AE-1087-DW-AE-002P1-P sheet 30 of 65</t>
  </si>
  <si>
    <t>Lime stone filter Feed pumps</t>
  </si>
  <si>
    <t>AE-1087-DW-AE-002P1-P sheet 31 to 33 of 65</t>
  </si>
  <si>
    <t xml:space="preserve">Lime Stone filter </t>
  </si>
  <si>
    <t>AE-1087-DW-AE-002P1-P sheet 36 of 65</t>
  </si>
  <si>
    <t>AE-1087-DW-AE-002P1-P sheet 37 of 65</t>
  </si>
  <si>
    <t>AE-1087-DW-AE-002P1-P sheet 38 of 65</t>
  </si>
  <si>
    <t>AE-1087-DW-AE-002P1-P sheet 39 of 65</t>
  </si>
  <si>
    <t>AE-1087-DW-AE-002P1-P sheet 40 of 65</t>
  </si>
  <si>
    <t>AE-1087-DW-AE-002P1-P sheet 41 of 65</t>
  </si>
  <si>
    <t>Reject Disposal pumps</t>
  </si>
  <si>
    <t>AE-1087-DW-AE-002P1-P sheet 42 of 65</t>
  </si>
  <si>
    <t>CISX skid with piping and instrumenet</t>
  </si>
  <si>
    <t>Internal I/C piping-SS piping with Insulation</t>
  </si>
  <si>
    <t>AE-1087-DW-AE-002P1-P sheet 43 of 65</t>
  </si>
  <si>
    <t>AE-1087-DW-AE-002P1-P sheet 44 of 65</t>
  </si>
  <si>
    <t>Self cleaning filter</t>
  </si>
  <si>
    <t>Chorination booster pump</t>
  </si>
  <si>
    <t>Electrolyzer</t>
  </si>
  <si>
    <t>AE-1087-DW-AE-002P1-P sheet 45A of 65</t>
  </si>
  <si>
    <t>Hypo Tank</t>
  </si>
  <si>
    <t>Continuous /shock Dosing pump</t>
  </si>
  <si>
    <t>Air blowers</t>
  </si>
  <si>
    <t>AE-1087-DW-AE-002P1-P sheet 45B of 65</t>
  </si>
  <si>
    <t>Acid Dosing Tank- 2 m3</t>
  </si>
  <si>
    <t>Acid Wash Pump</t>
  </si>
  <si>
    <t>AE-1087-DW-AE-002P1-P sheet 47 of 65</t>
  </si>
  <si>
    <t>Wet Air Receiver 1M3</t>
  </si>
  <si>
    <t>AE-1087-DW-AE-002P1-P sheet 48 of 65</t>
  </si>
  <si>
    <t>Diverter valve assembly- 80NB ( Valve With Piping)</t>
  </si>
  <si>
    <t>Big Bag Handling structure with bag filter-1</t>
  </si>
  <si>
    <t>Big Bag Handling structure with bag filter- 2</t>
  </si>
  <si>
    <t>Big Bag Handling structure with bag filter- 3</t>
  </si>
  <si>
    <t>Bag Filter-1- C-fan</t>
  </si>
  <si>
    <t>Bag Filter-2- C-fan</t>
  </si>
  <si>
    <t>Bag Filter-3- C-fan</t>
  </si>
  <si>
    <t>Rotary feeder below Bag Filter</t>
  </si>
  <si>
    <t>Main storage Hopper/ silo with structural assembly</t>
  </si>
  <si>
    <t xml:space="preserve">Batch / Surge Hopper </t>
  </si>
  <si>
    <t>Rotary feeder below Storage Silo</t>
  </si>
  <si>
    <t xml:space="preserve">Vent Filter Blower- </t>
  </si>
  <si>
    <t>Structural platform</t>
  </si>
  <si>
    <t>CS pipin Pre fabricated</t>
  </si>
  <si>
    <t>AE-1087-DW-AE-002P1-P sheet 50 of 65</t>
  </si>
  <si>
    <t>AE-1087-DW-AE-002P1-P sheet 51 of 65</t>
  </si>
  <si>
    <t>AE-1087-DW-AE-002P1-P sheet 52 of 65</t>
  </si>
  <si>
    <t>Polymer Dosing Sysytem With Tank, Agitataor &amp; Screw Feder</t>
  </si>
  <si>
    <t>AE-1087-DW-AE-002P1-P sheet 53 of 65</t>
  </si>
  <si>
    <t>AE-1087-DW-AE-002P1-P sheet 54 of 65</t>
  </si>
  <si>
    <t>AE-1087-DW-AE-002P1-P sheet 55 of 65</t>
  </si>
  <si>
    <t>AE-1087-DW-AE-002P1-P sheet 56 of 65</t>
  </si>
  <si>
    <t>Flume Absorber</t>
  </si>
  <si>
    <t>AE-1087-DW-AE-002P1-P sheet 57 of 65</t>
  </si>
  <si>
    <t>HCL Dosing pump for Clarifier</t>
  </si>
  <si>
    <t>HCL Dosing pump for N-PIT</t>
  </si>
  <si>
    <t>AE-1087-DW-AE-002P1-P sheet 58 of 65</t>
  </si>
  <si>
    <t>NaOH Unloading cum transfer pump</t>
  </si>
  <si>
    <t>AE-1087-DW-AE-002P1-P sheet 59 of 65</t>
  </si>
  <si>
    <t>AE-1087-DW-AE-002P1-P sheet 60 of 65</t>
  </si>
  <si>
    <t>AE-1087-DW-AE-002P1-P sheet 61 of 65</t>
  </si>
  <si>
    <t>AE-1087-DW-AE-002P1-P sheet 62 of 65</t>
  </si>
  <si>
    <t>NaOCl Bulk storage tank with ladder &amp; Handrail</t>
  </si>
  <si>
    <t>NaOCl Unloading cum transfer pump</t>
  </si>
  <si>
    <t>AE-1087-DW-AE-002P1-P sheet 63 of 65</t>
  </si>
  <si>
    <t>NAOCL Dosing tank</t>
  </si>
  <si>
    <t>NAOCL Dosing pump-SWRO</t>
  </si>
  <si>
    <t>NAOCL Dosing pump for Final product water</t>
  </si>
  <si>
    <t>Piping fabrication, Installation, and alignment with Stud, Nut, Hex. bolt, Washer, Gasket, U bolt, PP spacer, RO, Mixing quill, etc., including hydrotest for site fabricated piping and leak test for prefabricated piping.</t>
  </si>
  <si>
    <t>CPVC Piping- Including Hydrotest</t>
  </si>
  <si>
    <t>GI Piping-Including Pneumatic test</t>
  </si>
  <si>
    <t>SS-316L Piping-Inclusding Hydrotest</t>
  </si>
  <si>
    <t>Duplex &amp; Super Duplex  Piping -Including Hydrotest</t>
  </si>
  <si>
    <t>Valves,Calibration column,Pulsation dampner-5000 Qty</t>
  </si>
  <si>
    <t>Online Flow transmeter-100 Qty</t>
  </si>
  <si>
    <t>EOT Crane 3 Ton (Single Girder Crane for  DMF Pump House)</t>
  </si>
  <si>
    <t>Monorail beam with electrical hoist 1 Ton including cable trolly (Sludge tarnsfer pump house )</t>
  </si>
  <si>
    <t>Monorail beam with electrical hoist 1 Ton including cable trolley (Chemical dosing shed )</t>
  </si>
  <si>
    <t>Monorail beam with electrical hoist 1 Ton including cable trolley (SWRO/Back wash pump house)</t>
  </si>
  <si>
    <t>Monorail beam with electrical hoist 3 Ton, including cable trolley ( Reject Outfall pump house)</t>
  </si>
  <si>
    <t>Monorail beam with electrical hoist 2 Ton including cable trolley ( Final product pump house)</t>
  </si>
  <si>
    <t>Monorail beam with electrical hoist 1Tonincluding cable trolley (Remin system feed pumphouse)</t>
  </si>
  <si>
    <t>Monorail beam with Manual chain pully block (3 Ton) Filter Backwash Pump house including cable trolley,</t>
  </si>
  <si>
    <t>Monorail beam with electrical hoist 2 Ton  including cable trolley(Lime Handling silo)</t>
  </si>
  <si>
    <t>EOT Crane 10 Ton (Single Girder Crane for SWRO shed)</t>
  </si>
  <si>
    <t>EOT Crane 10 Ton (Single Girder Crane for BWRO shed)</t>
  </si>
  <si>
    <t>Monorail beam with electrical hoist 2 Ton including cable trolley (PSF&amp; DMF Air blower room)</t>
  </si>
  <si>
    <t>STRUCTURE</t>
  </si>
  <si>
    <t>Installation of Prefabricated Ladders Platforms, Handrail, Pipe supports, Cable tray supports, Valve supports, GRP pipe shaddle support with gasket &amp; hardware, flange support (Site welding all be considered to weld on insert plate or base plate of supports),Grating ,FRP Sheets</t>
  </si>
  <si>
    <t>intermediate -1 coat  and finish paint- 2 coat</t>
  </si>
  <si>
    <t>Sluice Gate-Clear water storage tank</t>
  </si>
  <si>
    <t>Sluice Gate-Clear water storage tank Launder</t>
  </si>
  <si>
    <t>Sluice Gate-SWRO productwater tank Launder</t>
  </si>
  <si>
    <t>Sluice Gate-SWRO productwater tank</t>
  </si>
  <si>
    <t>Sluice Gate-Final product water tank</t>
  </si>
  <si>
    <t>Earthing GI Flat-75x10mm,50x6mm</t>
  </si>
  <si>
    <t>Provide the precommissioning &amp; Commissioning support for 120 working days as per Annex#1</t>
  </si>
  <si>
    <t>Provide below manpower for material control &amp; Help Store function @ 180 days</t>
  </si>
  <si>
    <t>Helper @Rs 1100 per day</t>
  </si>
  <si>
    <t>Rigger @Rs 1200 per day</t>
  </si>
  <si>
    <t>Kg</t>
  </si>
  <si>
    <t>Inch Mtr</t>
  </si>
  <si>
    <t>Inch dia</t>
  </si>
  <si>
    <r>
      <t xml:space="preserve">PO.NO.: </t>
    </r>
    <r>
      <rPr>
        <sz val="10"/>
        <rFont val="Cambria"/>
        <family val="1"/>
      </rPr>
      <t>E-10055 - 300003430</t>
    </r>
  </si>
  <si>
    <t>: E-10055 - 300003430</t>
  </si>
  <si>
    <t>: 22 July , 2025</t>
  </si>
  <si>
    <t>E-10055-Adani Water Ltd.</t>
  </si>
  <si>
    <t>A</t>
  </si>
  <si>
    <t>B</t>
  </si>
  <si>
    <t>C</t>
  </si>
  <si>
    <t>D</t>
  </si>
  <si>
    <t>R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</si>
  <si>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</si>
  <si>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</si>
  <si>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</si>
  <si>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</si>
  <si>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</si>
  <si>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</si>
  <si>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</si>
  <si>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</si>
  <si>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</si>
  <si>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</si>
  <si>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</si>
  <si>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</si>
  <si>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</si>
  <si>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</si>
  <si>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</si>
  <si>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</si>
  <si>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</si>
  <si>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</si>
  <si>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</si>
  <si>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</si>
  <si>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</si>
  <si>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</si>
  <si>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B2</t>
  </si>
  <si>
    <t>C3</t>
  </si>
  <si>
    <t>D4</t>
  </si>
  <si>
    <t>E5</t>
  </si>
  <si>
    <t>F6</t>
  </si>
  <si>
    <t>G7</t>
  </si>
  <si>
    <t>H8</t>
  </si>
  <si>
    <t>I9</t>
  </si>
  <si>
    <t>J10</t>
  </si>
  <si>
    <t>K11</t>
  </si>
  <si>
    <t>L12</t>
  </si>
  <si>
    <t>M13</t>
  </si>
  <si>
    <t>N14</t>
  </si>
  <si>
    <t>O15</t>
  </si>
  <si>
    <t>P16</t>
  </si>
  <si>
    <t>Q17</t>
  </si>
  <si>
    <t>R18</t>
  </si>
  <si>
    <t>S19</t>
  </si>
  <si>
    <t>T20</t>
  </si>
  <si>
    <t>U21</t>
  </si>
  <si>
    <t>P.O DATE: 22 July, 2025</t>
  </si>
  <si>
    <t>SITE-E-10055-Adani Water Ltd.(62MLD)</t>
  </si>
  <si>
    <t xml:space="preserve">Installation Cost </t>
  </si>
  <si>
    <t>62MLD</t>
  </si>
  <si>
    <t>CGST 9%</t>
  </si>
  <si>
    <t>HSN/SAC:</t>
  </si>
  <si>
    <t>PR/ITEM: / 00000</t>
  </si>
  <si>
    <t>Altimus, 601-602, 6th Floor, Besides</t>
  </si>
  <si>
    <t>Embassy Market</t>
  </si>
  <si>
    <t>Shreyas Colony, Navrangpura</t>
  </si>
  <si>
    <t>GSTIN NO : 24AABCA1850C2ZE</t>
  </si>
  <si>
    <t>SGST 9%</t>
  </si>
  <si>
    <t xml:space="preserve">S.NO </t>
  </si>
  <si>
    <t>DRW NO</t>
  </si>
  <si>
    <t>WEIGHT (KG)</t>
  </si>
  <si>
    <t>REMARKS</t>
  </si>
  <si>
    <t>MEASURMENT SHEET FOR PAINTING</t>
  </si>
  <si>
    <t>E-10055-DW-MD-004K12P (RACK 2)</t>
  </si>
  <si>
    <t>E-10055-DW-MD-004K12P(RACK 15)</t>
  </si>
  <si>
    <t>E-10055-DW-MD-004K2-P</t>
  </si>
  <si>
    <t>E-10055-DW-MD-004K1-P</t>
  </si>
  <si>
    <t>E-10055-DW-MD-004K5-P</t>
  </si>
  <si>
    <t>ECR-2 SUPPORTS</t>
  </si>
  <si>
    <t xml:space="preserve">DATE </t>
  </si>
  <si>
    <t xml:space="preserve">FITTER </t>
  </si>
  <si>
    <t>WELDER</t>
  </si>
  <si>
    <t xml:space="preserve">RIGGER </t>
  </si>
  <si>
    <t>HELPER</t>
  </si>
  <si>
    <t>MEASURMENT SHEET FOR MANPOWER SUPPLY</t>
  </si>
  <si>
    <t xml:space="preserve">E-10055-DW-MD-105K51 </t>
  </si>
  <si>
    <t>TOP LADDER AND PLATFORM FOR DAUL MEDIA FILTER</t>
  </si>
  <si>
    <t xml:space="preserve">E-10055-DW-MD-104K51 </t>
  </si>
  <si>
    <t>TOP LADDER AND PLATFORM FOR PRESSURE SAND FILTER</t>
  </si>
  <si>
    <t xml:space="preserve">E-10055-DW-MD-110K51 </t>
  </si>
  <si>
    <t>LADDER AND PLATFORM FOR LIME STONE MEDIA</t>
  </si>
  <si>
    <t>E-10055-DW-MD-419K1-P</t>
  </si>
  <si>
    <t>SWRO SKID-D</t>
  </si>
  <si>
    <t>SWRO SKID-E</t>
  </si>
  <si>
    <t>SWRO SKID-A</t>
  </si>
  <si>
    <t>16 TON CLAIMED IN RA04 &amp; BALANCE QTY PENDING DUE TO PROTOCOL SIGN NOT DONE</t>
  </si>
  <si>
    <t>QTY CLAIMED IN RA04</t>
  </si>
  <si>
    <t>QTY CLAIMED IN RA05</t>
  </si>
  <si>
    <t>TOTAL QTY CLAIMED TILL NOW</t>
  </si>
  <si>
    <t>BALANCE QTY TO CLAIM</t>
  </si>
  <si>
    <t>RAIL FIXING FOR CLIENT</t>
  </si>
  <si>
    <t>INSTALLATION OF CURVE ANGLE INSIDE ECR ROOM 1</t>
  </si>
  <si>
    <t>WELDING OF RAIL</t>
  </si>
  <si>
    <t>MESURMENT SHEET FOR INSTALATION OF PRE-FABRICTED LADDER PLATFORM ND RO SKID</t>
  </si>
  <si>
    <t>Qty</t>
  </si>
  <si>
    <t>Drw No</t>
  </si>
  <si>
    <t>SrNo</t>
  </si>
  <si>
    <t>Weight(KG)</t>
  </si>
  <si>
    <t>Total Weight In Kg</t>
  </si>
  <si>
    <t>PS-2123 A to F</t>
  </si>
  <si>
    <t>PS-2044 to 2062</t>
  </si>
  <si>
    <t>PS-2064 to 2082</t>
  </si>
  <si>
    <t>PS-2102 to 2120</t>
  </si>
  <si>
    <t>PS-2083 to 2100</t>
  </si>
  <si>
    <t>PS-2012 K to N, P to T</t>
  </si>
  <si>
    <t>PS-2012 A to H &amp; J</t>
  </si>
  <si>
    <t>PS-2009 K to N,P to T</t>
  </si>
  <si>
    <t>PS-2009 A to H &amp; J</t>
  </si>
  <si>
    <t>PS-2008 K to N,P to T</t>
  </si>
  <si>
    <t>PS-2008 A to H &amp; J</t>
  </si>
  <si>
    <t>PS-2002 K to N,P to T</t>
  </si>
  <si>
    <t>PS-2002 A to H &amp; J</t>
  </si>
  <si>
    <t>PS-2001 K to N,P to T</t>
  </si>
  <si>
    <t>PS-2001 A to H &amp; J</t>
  </si>
  <si>
    <t>PS-2020 A to J</t>
  </si>
  <si>
    <t>PS-2004 A to H &amp; J</t>
  </si>
  <si>
    <t>PS-2023 A to J</t>
  </si>
  <si>
    <t>PS-2003 A to H &amp; J</t>
  </si>
  <si>
    <t>PS-2003 K to N,P to T</t>
  </si>
  <si>
    <t>PS-2005 A to H &amp; J</t>
  </si>
  <si>
    <t>PS-2005 K to N,P to T</t>
  </si>
  <si>
    <t>PS-2006 A to H &amp; J</t>
  </si>
  <si>
    <t>PS-2006 K to N,P to T</t>
  </si>
  <si>
    <t>PS-2007 A to H &amp; J</t>
  </si>
  <si>
    <t>PS-2007 K to N,P to T</t>
  </si>
  <si>
    <t>DMF-2</t>
  </si>
  <si>
    <t>PSF-2</t>
  </si>
  <si>
    <t>Remark</t>
  </si>
  <si>
    <t>PS-1587  A &amp; B</t>
  </si>
  <si>
    <t>PS-1570  A &amp; B</t>
  </si>
  <si>
    <t>PS-1567</t>
  </si>
  <si>
    <t>PS-1599 A &amp; B</t>
  </si>
  <si>
    <t>PS-1588</t>
  </si>
  <si>
    <t>PS-1589</t>
  </si>
  <si>
    <t>PS-1597</t>
  </si>
  <si>
    <t>PS-1002 A,B,C,D,E</t>
  </si>
  <si>
    <t>PS-1003 A,B,C,D,E</t>
  </si>
  <si>
    <t>PS-1600</t>
  </si>
  <si>
    <t>PS-1569 A &amp; B</t>
  </si>
  <si>
    <t>PS-1571</t>
  </si>
  <si>
    <t>PS-1576</t>
  </si>
  <si>
    <t>PS-1566</t>
  </si>
  <si>
    <t>PS-1586 A &amp; B</t>
  </si>
  <si>
    <t>PS-1598 A &amp; B</t>
  </si>
  <si>
    <t>PS-1572</t>
  </si>
  <si>
    <t>PS-1577 A &amp; B</t>
  </si>
  <si>
    <t>PS-1585</t>
  </si>
  <si>
    <t>PS-1001 A,B,C,D,E</t>
  </si>
  <si>
    <t>PS-1004</t>
  </si>
  <si>
    <t>PS-1005</t>
  </si>
  <si>
    <t>Pipe Support/Rack No</t>
  </si>
  <si>
    <t>E-10055-DW-MD-004K12-P</t>
  </si>
  <si>
    <t>Rack-12</t>
  </si>
  <si>
    <t>E-10055-DW-MD-004K13-P</t>
  </si>
  <si>
    <t>Rack-16</t>
  </si>
  <si>
    <t>Rack-15</t>
  </si>
  <si>
    <t>Rack-17</t>
  </si>
  <si>
    <t>E-10055-DW-MD-004K11-P</t>
  </si>
  <si>
    <t>Rack-01</t>
  </si>
  <si>
    <t>Actual weight</t>
  </si>
  <si>
    <t>PS-2022 A to J</t>
  </si>
  <si>
    <t>PS-2022 K to T</t>
  </si>
  <si>
    <t>Rack-05</t>
  </si>
  <si>
    <t>Total Weight in M.T</t>
  </si>
  <si>
    <t>E-10055-DW-MD-004K14-P</t>
  </si>
  <si>
    <t>Rack-04</t>
  </si>
  <si>
    <t>ECR BUILDING -2</t>
  </si>
  <si>
    <t>PMCC  Support</t>
  </si>
  <si>
    <t>only fabrication done</t>
  </si>
  <si>
    <t>erection &amp; fab done</t>
  </si>
  <si>
    <t>Qty clamied in RA04</t>
  </si>
  <si>
    <t>QTY NOT MENTIONED IN THE ABSTRACT ONCE SRINIVASA RAO SIR APPROVED WE WILL CLAIMED IT.</t>
  </si>
  <si>
    <t>S.NO</t>
  </si>
  <si>
    <t>LENGTH(M)</t>
  </si>
  <si>
    <t>INCH/MTRS</t>
  </si>
  <si>
    <t>PLANT AIR LINE FOR DMF-1</t>
  </si>
  <si>
    <t>SIZE(INCH)</t>
  </si>
  <si>
    <t>PA-200-CS-2402</t>
  </si>
  <si>
    <t>PLANT AIR LINE FOR DMF-2</t>
  </si>
  <si>
    <t>QTY clamied in RA05</t>
  </si>
  <si>
    <t>MESURMENT SHEET FOR STRUCTURL STEEL FABRICTION AND ERECTION</t>
  </si>
  <si>
    <t>RO HOUSE</t>
  </si>
  <si>
    <t>G.I PIPING</t>
  </si>
  <si>
    <t>SKILLED</t>
  </si>
  <si>
    <t>UNSKILLED</t>
  </si>
  <si>
    <t>CER 2</t>
  </si>
  <si>
    <t xml:space="preserve"> </t>
  </si>
  <si>
    <t>36049.78*12</t>
  </si>
  <si>
    <t>SWRO SKID-B</t>
  </si>
  <si>
    <t>CATRIDGE FILTER LADDER PLATFROM</t>
  </si>
  <si>
    <t>:06</t>
  </si>
  <si>
    <t>R.A. Bill No.: 06</t>
  </si>
  <si>
    <t>: 25.11.25</t>
  </si>
  <si>
    <t>: GJ/2025-26/63</t>
  </si>
  <si>
    <t>: 28.12.2025</t>
  </si>
  <si>
    <t>Seventy-Lakh Sixty Five Thousnd Nine Hundred Forty Nine Rupees And Fifty Paise Only.</t>
  </si>
  <si>
    <t>:GJ/2025-26/63</t>
  </si>
</sst>
</file>

<file path=xl/styles.xml><?xml version="1.0" encoding="utf-8"?>
<styleSheet xmlns="http://schemas.openxmlformats.org/spreadsheetml/2006/main">
  <numFmts count="5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.0_);_(* \(#,##0.0\);_(* &quot;-&quot;_);_(@_)"/>
    <numFmt numFmtId="168" formatCode="0.000"/>
  </numFmts>
  <fonts count="29">
    <font>
      <sz val="11"/>
      <color theme="1"/>
      <name val="Calibri"/>
      <family val="2"/>
      <scheme val="minor"/>
    </font>
    <font>
      <sz val="10"/>
      <name val="Cambria"/>
      <family val="1"/>
    </font>
    <font>
      <sz val="10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mbria"/>
      <family val="1"/>
      <scheme val="maj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mbria"/>
      <family val="1"/>
      <scheme val="maj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0"/>
      <name val="Cambria"/>
      <family val="1"/>
      <scheme val="major"/>
    </font>
    <font>
      <b/>
      <sz val="11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</cellStyleXfs>
  <cellXfs count="23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12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4" fillId="0" borderId="0" xfId="0" applyFont="1"/>
    <xf numFmtId="0" fontId="15" fillId="0" borderId="4" xfId="0" applyFont="1" applyBorder="1"/>
    <xf numFmtId="0" fontId="7" fillId="0" borderId="5" xfId="3" applyFont="1" applyBorder="1" applyAlignment="1">
      <alignment horizontal="left" vertical="center"/>
    </xf>
    <xf numFmtId="0" fontId="7" fillId="0" borderId="6" xfId="3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4" fillId="0" borderId="5" xfId="0" applyFont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16" fillId="0" borderId="0" xfId="0" applyFont="1"/>
    <xf numFmtId="0" fontId="7" fillId="0" borderId="0" xfId="0" applyFont="1" applyAlignment="1">
      <alignment horizontal="left" vertical="center"/>
    </xf>
    <xf numFmtId="0" fontId="4" fillId="0" borderId="0" xfId="0" applyFont="1"/>
    <xf numFmtId="0" fontId="4" fillId="0" borderId="17" xfId="0" applyFont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2" fillId="2" borderId="1" xfId="0" applyNumberFormat="1" applyFont="1" applyFill="1" applyBorder="1" applyAlignment="1">
      <alignment horizontal="center" vertical="center"/>
    </xf>
    <xf numFmtId="167" fontId="5" fillId="2" borderId="18" xfId="0" applyNumberFormat="1" applyFont="1" applyFill="1" applyBorder="1" applyAlignment="1">
      <alignment horizontal="center" vertical="center"/>
    </xf>
    <xf numFmtId="2" fontId="5" fillId="0" borderId="19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left" vertical="center"/>
    </xf>
    <xf numFmtId="164" fontId="2" fillId="2" borderId="20" xfId="0" applyNumberFormat="1" applyFont="1" applyFill="1" applyBorder="1" applyAlignment="1">
      <alignment vertical="center" wrapText="1"/>
    </xf>
    <xf numFmtId="0" fontId="0" fillId="2" borderId="20" xfId="0" applyFill="1" applyBorder="1"/>
    <xf numFmtId="0" fontId="4" fillId="2" borderId="20" xfId="0" applyFont="1" applyFill="1" applyBorder="1"/>
    <xf numFmtId="0" fontId="2" fillId="2" borderId="21" xfId="0" applyFont="1" applyFill="1" applyBorder="1" applyAlignment="1">
      <alignment horizontal="left" vertical="center" wrapText="1"/>
    </xf>
    <xf numFmtId="3" fontId="0" fillId="0" borderId="0" xfId="0" applyNumberFormat="1"/>
    <xf numFmtId="2" fontId="2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2" fillId="2" borderId="19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2" borderId="17" xfId="0" quotePrefix="1" applyFont="1" applyFill="1" applyBorder="1" applyAlignment="1">
      <alignment horizontal="center" vertical="center"/>
    </xf>
    <xf numFmtId="2" fontId="3" fillId="2" borderId="19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1" fontId="2" fillId="2" borderId="8" xfId="1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4" fillId="0" borderId="0" xfId="0" applyFont="1" applyBorder="1" applyAlignment="1">
      <alignment horizontal="left" vertical="center"/>
    </xf>
    <xf numFmtId="0" fontId="17" fillId="0" borderId="5" xfId="0" applyFont="1" applyBorder="1"/>
    <xf numFmtId="0" fontId="17" fillId="0" borderId="0" xfId="0" applyFont="1"/>
    <xf numFmtId="0" fontId="2" fillId="3" borderId="17" xfId="0" quotePrefix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0" fontId="0" fillId="2" borderId="0" xfId="0" applyFill="1"/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2" fontId="0" fillId="2" borderId="0" xfId="0" applyNumberFormat="1" applyFill="1"/>
    <xf numFmtId="0" fontId="0" fillId="0" borderId="0" xfId="0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3" borderId="20" xfId="0" applyFont="1" applyFill="1" applyBorder="1" applyAlignment="1">
      <alignment horizontal="left" vertical="center" wrapText="1"/>
    </xf>
    <xf numFmtId="0" fontId="18" fillId="2" borderId="22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left" vertical="center"/>
    </xf>
    <xf numFmtId="0" fontId="0" fillId="2" borderId="21" xfId="0" applyFill="1" applyBorder="1"/>
    <xf numFmtId="0" fontId="18" fillId="2" borderId="20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vertical="center"/>
    </xf>
    <xf numFmtId="0" fontId="19" fillId="2" borderId="24" xfId="0" applyFont="1" applyFill="1" applyBorder="1" applyAlignment="1">
      <alignment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vertical="center"/>
    </xf>
    <xf numFmtId="0" fontId="3" fillId="2" borderId="2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2" fontId="3" fillId="2" borderId="26" xfId="1" applyNumberFormat="1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0" fillId="2" borderId="29" xfId="0" applyFill="1" applyBorder="1"/>
    <xf numFmtId="1" fontId="3" fillId="2" borderId="30" xfId="1" applyNumberFormat="1" applyFont="1" applyFill="1" applyBorder="1" applyAlignment="1">
      <alignment horizontal="center" wrapText="1"/>
    </xf>
    <xf numFmtId="164" fontId="5" fillId="2" borderId="27" xfId="0" applyNumberFormat="1" applyFont="1" applyFill="1" applyBorder="1" applyAlignment="1">
      <alignment horizontal="center" vertical="center"/>
    </xf>
    <xf numFmtId="164" fontId="6" fillId="2" borderId="31" xfId="0" applyNumberFormat="1" applyFont="1" applyFill="1" applyBorder="1" applyAlignment="1">
      <alignment horizontal="center" vertical="center"/>
    </xf>
    <xf numFmtId="164" fontId="5" fillId="2" borderId="31" xfId="0" applyNumberFormat="1" applyFont="1" applyFill="1" applyBorder="1" applyAlignment="1">
      <alignment horizontal="center" vertical="center"/>
    </xf>
    <xf numFmtId="167" fontId="5" fillId="2" borderId="31" xfId="0" applyNumberFormat="1" applyFont="1" applyFill="1" applyBorder="1" applyAlignment="1">
      <alignment horizontal="center" vertical="center"/>
    </xf>
    <xf numFmtId="2" fontId="5" fillId="2" borderId="18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/>
    <xf numFmtId="0" fontId="0" fillId="0" borderId="1" xfId="0" applyBorder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4" fillId="4" borderId="1" xfId="0" applyFont="1" applyFill="1" applyBorder="1" applyAlignment="1">
      <alignment horizontal="center"/>
    </xf>
    <xf numFmtId="0" fontId="0" fillId="4" borderId="1" xfId="0" applyFill="1" applyBorder="1"/>
    <xf numFmtId="0" fontId="1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17" fillId="0" borderId="1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1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168" fontId="17" fillId="0" borderId="1" xfId="0" applyNumberFormat="1" applyFont="1" applyFill="1" applyBorder="1" applyAlignment="1">
      <alignment horizontal="center"/>
    </xf>
    <xf numFmtId="0" fontId="11" fillId="0" borderId="0" xfId="0" applyFont="1"/>
    <xf numFmtId="0" fontId="11" fillId="0" borderId="1" xfId="0" applyFont="1" applyFill="1" applyBorder="1" applyAlignment="1">
      <alignment horizontal="center" vertical="center" wrapText="1"/>
    </xf>
    <xf numFmtId="0" fontId="23" fillId="0" borderId="0" xfId="0" applyFont="1"/>
    <xf numFmtId="0" fontId="0" fillId="3" borderId="1" xfId="0" applyFill="1" applyBorder="1"/>
    <xf numFmtId="0" fontId="0" fillId="2" borderId="1" xfId="0" applyFill="1" applyBorder="1"/>
    <xf numFmtId="0" fontId="1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1" xfId="0" applyFont="1" applyFill="1" applyBorder="1"/>
    <xf numFmtId="0" fontId="14" fillId="3" borderId="1" xfId="0" applyFont="1" applyFill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0" fillId="0" borderId="20" xfId="0" applyBorder="1"/>
    <xf numFmtId="0" fontId="0" fillId="0" borderId="2" xfId="0" applyBorder="1" applyAlignment="1">
      <alignment horizontal="center" vertical="center"/>
    </xf>
    <xf numFmtId="2" fontId="2" fillId="3" borderId="2" xfId="1" applyNumberFormat="1" applyFont="1" applyFill="1" applyBorder="1" applyAlignment="1">
      <alignment horizontal="center" vertical="center"/>
    </xf>
    <xf numFmtId="0" fontId="17" fillId="0" borderId="3" xfId="0" applyFont="1" applyBorder="1"/>
    <xf numFmtId="0" fontId="4" fillId="0" borderId="1" xfId="0" applyFont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0" fillId="0" borderId="19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10" fillId="0" borderId="2" xfId="3" applyBorder="1" applyAlignment="1">
      <alignment horizontal="left" vertical="center"/>
    </xf>
    <xf numFmtId="0" fontId="10" fillId="0" borderId="32" xfId="3" applyBorder="1" applyAlignment="1">
      <alignment horizontal="left" vertical="center"/>
    </xf>
    <xf numFmtId="0" fontId="10" fillId="0" borderId="1" xfId="3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2" borderId="45" xfId="0" applyFont="1" applyFill="1" applyBorder="1" applyAlignment="1">
      <alignment horizontal="left" vertical="center"/>
    </xf>
    <xf numFmtId="0" fontId="5" fillId="2" borderId="46" xfId="0" applyFont="1" applyFill="1" applyBorder="1" applyAlignment="1">
      <alignment horizontal="left" vertical="center"/>
    </xf>
    <xf numFmtId="47" fontId="0" fillId="2" borderId="11" xfId="3" applyNumberFormat="1" applyFont="1" applyFill="1" applyBorder="1" applyAlignment="1">
      <alignment horizontal="left" vertical="center"/>
    </xf>
    <xf numFmtId="0" fontId="10" fillId="2" borderId="12" xfId="3" applyFill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24" fillId="2" borderId="2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25" fillId="2" borderId="49" xfId="0" applyFont="1" applyFill="1" applyBorder="1" applyAlignment="1">
      <alignment horizontal="center" vertical="center"/>
    </xf>
    <xf numFmtId="0" fontId="25" fillId="2" borderId="44" xfId="0" applyFont="1" applyFill="1" applyBorder="1" applyAlignment="1">
      <alignment horizontal="center" vertical="center"/>
    </xf>
    <xf numFmtId="0" fontId="25" fillId="2" borderId="50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20" fillId="2" borderId="32" xfId="0" applyFont="1" applyFill="1" applyBorder="1" applyAlignment="1">
      <alignment horizontal="left" vertical="center"/>
    </xf>
    <xf numFmtId="14" fontId="20" fillId="2" borderId="2" xfId="0" applyNumberFormat="1" applyFont="1" applyFill="1" applyBorder="1" applyAlignment="1">
      <alignment horizontal="left" vertical="center"/>
    </xf>
    <xf numFmtId="0" fontId="20" fillId="2" borderId="20" xfId="0" applyFont="1" applyFill="1" applyBorder="1" applyAlignment="1">
      <alignment horizontal="center" vertical="center"/>
    </xf>
    <xf numFmtId="2" fontId="20" fillId="2" borderId="1" xfId="0" applyNumberFormat="1" applyFont="1" applyFill="1" applyBorder="1" applyAlignment="1">
      <alignment horizontal="center" vertical="center" wrapText="1"/>
    </xf>
    <xf numFmtId="2" fontId="20" fillId="2" borderId="19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/>
    </xf>
    <xf numFmtId="0" fontId="20" fillId="2" borderId="48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28" fillId="0" borderId="8" xfId="0" applyFont="1" applyBorder="1" applyAlignment="1">
      <alignment horizontal="center" wrapText="1"/>
    </xf>
    <xf numFmtId="0" fontId="28" fillId="0" borderId="48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22" fillId="0" borderId="16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/>
  </sheetPr>
  <dimension ref="A4:H39"/>
  <sheetViews>
    <sheetView tabSelected="1" zoomScale="96" zoomScaleNormal="96" workbookViewId="0">
      <selection activeCell="J22" sqref="J22"/>
    </sheetView>
  </sheetViews>
  <sheetFormatPr defaultColWidth="11.42578125" defaultRowHeight="15"/>
  <cols>
    <col min="1" max="1" width="3.42578125" customWidth="1"/>
    <col min="2" max="2" width="8.28515625" customWidth="1"/>
    <col min="3" max="3" width="34.42578125" customWidth="1"/>
    <col min="4" max="4" width="7.7109375" customWidth="1"/>
    <col min="5" max="5" width="12.7109375" customWidth="1"/>
    <col min="6" max="6" width="14" customWidth="1"/>
    <col min="7" max="7" width="23.7109375" customWidth="1"/>
  </cols>
  <sheetData>
    <row r="4" spans="1:8" ht="15.75" thickBot="1">
      <c r="A4" s="12"/>
      <c r="B4" s="12"/>
      <c r="C4" s="12"/>
      <c r="D4" s="12"/>
      <c r="E4" s="12"/>
      <c r="F4" s="12"/>
      <c r="G4" s="12"/>
      <c r="H4" s="12"/>
    </row>
    <row r="5" spans="1:8">
      <c r="A5" s="12"/>
      <c r="B5" s="158" t="s">
        <v>101</v>
      </c>
      <c r="C5" s="13"/>
      <c r="D5" s="168" t="s">
        <v>102</v>
      </c>
      <c r="E5" s="169"/>
      <c r="F5" s="170" t="s">
        <v>450</v>
      </c>
      <c r="G5" s="171"/>
      <c r="H5" s="12"/>
    </row>
    <row r="6" spans="1:8">
      <c r="A6" s="12"/>
      <c r="B6" s="14" t="s">
        <v>103</v>
      </c>
      <c r="C6" s="15"/>
      <c r="D6" s="159" t="s">
        <v>104</v>
      </c>
      <c r="E6" s="159"/>
      <c r="F6" s="172" t="s">
        <v>451</v>
      </c>
      <c r="G6" s="173"/>
      <c r="H6" s="12"/>
    </row>
    <row r="7" spans="1:8">
      <c r="A7" s="12"/>
      <c r="B7" s="14" t="s">
        <v>310</v>
      </c>
      <c r="C7" s="15"/>
      <c r="D7" s="159" t="s">
        <v>105</v>
      </c>
      <c r="E7" s="159"/>
      <c r="F7" s="159" t="s">
        <v>253</v>
      </c>
      <c r="G7" s="167"/>
      <c r="H7" s="12"/>
    </row>
    <row r="8" spans="1:8">
      <c r="A8" s="12"/>
      <c r="B8" s="14" t="s">
        <v>311</v>
      </c>
      <c r="C8" s="35"/>
      <c r="D8" s="159" t="s">
        <v>106</v>
      </c>
      <c r="E8" s="159"/>
      <c r="F8" s="159" t="s">
        <v>254</v>
      </c>
      <c r="G8" s="167"/>
      <c r="H8" s="12"/>
    </row>
    <row r="9" spans="1:8">
      <c r="A9" s="12"/>
      <c r="B9" s="16" t="s">
        <v>312</v>
      </c>
      <c r="C9" s="36"/>
      <c r="D9" s="159" t="s">
        <v>107</v>
      </c>
      <c r="E9" s="159"/>
      <c r="F9" s="164" t="s">
        <v>108</v>
      </c>
      <c r="G9" s="165"/>
      <c r="H9" s="12"/>
    </row>
    <row r="10" spans="1:8">
      <c r="A10" s="12"/>
      <c r="B10" s="70" t="s">
        <v>313</v>
      </c>
      <c r="C10" s="71"/>
      <c r="D10" s="159" t="s">
        <v>109</v>
      </c>
      <c r="E10" s="159"/>
      <c r="F10" s="166" t="s">
        <v>110</v>
      </c>
      <c r="G10" s="161"/>
      <c r="H10" s="12"/>
    </row>
    <row r="11" spans="1:8">
      <c r="A11" s="12"/>
      <c r="B11" s="17"/>
      <c r="C11" s="37"/>
      <c r="D11" s="159" t="s">
        <v>111</v>
      </c>
      <c r="E11" s="159"/>
      <c r="F11" s="166" t="s">
        <v>112</v>
      </c>
      <c r="G11" s="161"/>
      <c r="H11" s="12"/>
    </row>
    <row r="12" spans="1:8">
      <c r="A12" s="12"/>
      <c r="B12" s="17"/>
      <c r="C12" s="37"/>
      <c r="D12" s="159" t="s">
        <v>113</v>
      </c>
      <c r="E12" s="159"/>
      <c r="F12" s="160" t="s">
        <v>447</v>
      </c>
      <c r="G12" s="161"/>
      <c r="H12" s="12"/>
    </row>
    <row r="13" spans="1:8" ht="15.75" thickBot="1">
      <c r="A13" s="12"/>
      <c r="B13" s="18" t="s">
        <v>114</v>
      </c>
      <c r="C13" s="19" t="s">
        <v>7</v>
      </c>
      <c r="D13" s="19" t="s">
        <v>12</v>
      </c>
      <c r="E13" s="19" t="s">
        <v>0</v>
      </c>
      <c r="F13" s="19" t="s">
        <v>9</v>
      </c>
      <c r="G13" s="20" t="s">
        <v>10</v>
      </c>
      <c r="H13" s="12"/>
    </row>
    <row r="14" spans="1:8" ht="15.75" thickBot="1">
      <c r="A14" s="12"/>
      <c r="B14" s="38">
        <v>1</v>
      </c>
      <c r="C14" s="22" t="s">
        <v>305</v>
      </c>
      <c r="D14" s="21" t="s">
        <v>115</v>
      </c>
      <c r="E14" s="21">
        <v>1</v>
      </c>
      <c r="F14" s="21"/>
      <c r="G14" s="44">
        <f>Abs!$K$219</f>
        <v>5988092.7999999998</v>
      </c>
      <c r="H14" s="12"/>
    </row>
    <row r="15" spans="1:8">
      <c r="A15" s="12"/>
      <c r="B15" s="23"/>
      <c r="C15" s="68" t="s">
        <v>304</v>
      </c>
      <c r="D15" s="24"/>
      <c r="E15" s="40"/>
      <c r="F15" s="25"/>
      <c r="G15" s="26"/>
      <c r="H15" s="12"/>
    </row>
    <row r="16" spans="1:8">
      <c r="A16" s="12"/>
      <c r="B16" s="23"/>
      <c r="C16" s="39"/>
      <c r="D16" s="24"/>
      <c r="E16" s="40"/>
      <c r="F16" s="25"/>
      <c r="G16" s="26"/>
      <c r="H16" s="12"/>
    </row>
    <row r="17" spans="1:8">
      <c r="A17" s="12"/>
      <c r="B17" s="23"/>
      <c r="C17" s="42" t="s">
        <v>308</v>
      </c>
      <c r="D17" s="24"/>
      <c r="E17" s="40"/>
      <c r="F17" s="25"/>
      <c r="G17" s="26"/>
      <c r="H17" s="12"/>
    </row>
    <row r="18" spans="1:8">
      <c r="A18" s="12"/>
      <c r="B18" s="23"/>
      <c r="C18" s="42" t="s">
        <v>309</v>
      </c>
      <c r="D18" s="24"/>
      <c r="E18" s="40"/>
      <c r="F18" s="25"/>
      <c r="G18" s="26"/>
      <c r="H18" s="12"/>
    </row>
    <row r="19" spans="1:8">
      <c r="A19" s="12"/>
      <c r="B19" s="23"/>
      <c r="C19" s="42"/>
      <c r="D19" s="24"/>
      <c r="E19" s="40"/>
      <c r="F19" s="25"/>
      <c r="G19" s="26"/>
      <c r="H19" s="12"/>
    </row>
    <row r="20" spans="1:8">
      <c r="A20" s="12"/>
      <c r="B20" s="23"/>
      <c r="C20" s="42"/>
      <c r="D20" s="24"/>
      <c r="E20" s="40"/>
      <c r="F20" s="25"/>
      <c r="G20" s="26"/>
      <c r="H20" s="12"/>
    </row>
    <row r="21" spans="1:8">
      <c r="A21" s="12"/>
      <c r="B21" s="23"/>
      <c r="C21" s="42"/>
      <c r="D21" s="24"/>
      <c r="E21" s="40"/>
      <c r="F21" s="25"/>
      <c r="G21" s="26"/>
      <c r="H21" s="12"/>
    </row>
    <row r="22" spans="1:8">
      <c r="A22" s="12"/>
      <c r="B22" s="23"/>
      <c r="C22" s="42"/>
      <c r="D22" s="24"/>
      <c r="E22" s="40"/>
      <c r="F22" s="25"/>
      <c r="G22" s="26"/>
      <c r="H22" s="12"/>
    </row>
    <row r="23" spans="1:8">
      <c r="A23" s="12"/>
      <c r="B23" s="23"/>
      <c r="C23" s="41"/>
      <c r="D23" s="24"/>
      <c r="E23" s="40"/>
      <c r="F23" s="25"/>
      <c r="G23" s="26"/>
      <c r="H23" s="12"/>
    </row>
    <row r="24" spans="1:8">
      <c r="A24" s="12"/>
      <c r="B24" s="23"/>
      <c r="C24" s="41"/>
      <c r="D24" s="24"/>
      <c r="E24" s="40"/>
      <c r="F24" s="25"/>
      <c r="G24" s="26"/>
      <c r="H24" s="12"/>
    </row>
    <row r="25" spans="1:8">
      <c r="A25" s="12"/>
      <c r="B25" s="23"/>
      <c r="C25" s="41"/>
      <c r="D25" s="24"/>
      <c r="E25" s="40"/>
      <c r="F25" s="25"/>
      <c r="G25" s="26"/>
      <c r="H25" s="12"/>
    </row>
    <row r="26" spans="1:8">
      <c r="A26" s="12"/>
      <c r="B26" s="27"/>
      <c r="C26" s="28"/>
      <c r="D26" s="162" t="s">
        <v>116</v>
      </c>
      <c r="E26" s="163"/>
      <c r="F26" s="29"/>
      <c r="G26" s="45">
        <f>SUM(G14:G25)</f>
        <v>5988092.7999999998</v>
      </c>
      <c r="H26" s="12"/>
    </row>
    <row r="27" spans="1:8">
      <c r="A27" s="12"/>
      <c r="B27" s="30"/>
      <c r="C27" s="69"/>
      <c r="D27" s="162" t="s">
        <v>307</v>
      </c>
      <c r="E27" s="174"/>
      <c r="F27" s="163"/>
      <c r="G27" s="45">
        <f>G26*9%</f>
        <v>538928.35199999996</v>
      </c>
      <c r="H27" s="12"/>
    </row>
    <row r="28" spans="1:8">
      <c r="A28" s="12"/>
      <c r="B28" s="30"/>
      <c r="C28" s="42"/>
      <c r="D28" s="175" t="s">
        <v>314</v>
      </c>
      <c r="E28" s="175"/>
      <c r="F28" s="175"/>
      <c r="G28" s="45">
        <f>G26*9%</f>
        <v>538928.35199999996</v>
      </c>
      <c r="H28" s="12"/>
    </row>
    <row r="29" spans="1:8">
      <c r="A29" s="12"/>
      <c r="B29" s="31"/>
      <c r="C29" s="32"/>
      <c r="D29" s="175" t="s">
        <v>117</v>
      </c>
      <c r="E29" s="175"/>
      <c r="F29" s="175"/>
      <c r="G29" s="45">
        <f>SUM(G26:G28)</f>
        <v>7065949.5039999997</v>
      </c>
      <c r="H29" s="12"/>
    </row>
    <row r="30" spans="1:8" ht="29.25" customHeight="1">
      <c r="A30" s="12"/>
      <c r="B30" s="33" t="s">
        <v>118</v>
      </c>
      <c r="C30" s="176" t="s">
        <v>452</v>
      </c>
      <c r="D30" s="177"/>
      <c r="E30" s="177"/>
      <c r="F30" s="177"/>
      <c r="G30" s="178"/>
      <c r="H30" s="12"/>
    </row>
    <row r="31" spans="1:8">
      <c r="A31" s="12"/>
      <c r="B31" s="179"/>
      <c r="C31" s="180"/>
      <c r="D31" s="181"/>
      <c r="E31" s="188" t="s">
        <v>119</v>
      </c>
      <c r="F31" s="188"/>
      <c r="G31" s="189"/>
      <c r="H31" s="12"/>
    </row>
    <row r="32" spans="1:8">
      <c r="A32" s="12"/>
      <c r="B32" s="182"/>
      <c r="C32" s="183"/>
      <c r="D32" s="184"/>
      <c r="E32" s="188"/>
      <c r="F32" s="188"/>
      <c r="G32" s="189"/>
      <c r="H32" s="12"/>
    </row>
    <row r="33" spans="1:8">
      <c r="A33" s="12"/>
      <c r="B33" s="182"/>
      <c r="C33" s="183"/>
      <c r="D33" s="184"/>
      <c r="E33" s="190"/>
      <c r="F33" s="191"/>
      <c r="G33" s="192"/>
      <c r="H33" s="12"/>
    </row>
    <row r="34" spans="1:8">
      <c r="A34" s="12"/>
      <c r="B34" s="182"/>
      <c r="C34" s="183"/>
      <c r="D34" s="184"/>
      <c r="E34" s="193"/>
      <c r="F34" s="194"/>
      <c r="G34" s="195"/>
      <c r="H34" s="12"/>
    </row>
    <row r="35" spans="1:8">
      <c r="A35" s="12"/>
      <c r="B35" s="182"/>
      <c r="C35" s="183"/>
      <c r="D35" s="184"/>
      <c r="E35" s="193"/>
      <c r="F35" s="194"/>
      <c r="G35" s="195"/>
      <c r="H35" s="12"/>
    </row>
    <row r="36" spans="1:8">
      <c r="A36" s="12"/>
      <c r="B36" s="182"/>
      <c r="C36" s="183"/>
      <c r="D36" s="184"/>
      <c r="E36" s="193"/>
      <c r="F36" s="194"/>
      <c r="G36" s="195"/>
      <c r="H36" s="12"/>
    </row>
    <row r="37" spans="1:8">
      <c r="A37" s="12"/>
      <c r="B37" s="182"/>
      <c r="C37" s="183"/>
      <c r="D37" s="184"/>
      <c r="E37" s="193"/>
      <c r="F37" s="194"/>
      <c r="G37" s="195"/>
      <c r="H37" s="12"/>
    </row>
    <row r="38" spans="1:8">
      <c r="A38" s="12"/>
      <c r="B38" s="182"/>
      <c r="C38" s="183"/>
      <c r="D38" s="184"/>
      <c r="E38" s="196"/>
      <c r="F38" s="197"/>
      <c r="G38" s="198"/>
      <c r="H38" s="12"/>
    </row>
    <row r="39" spans="1:8" ht="15.75" thickBot="1">
      <c r="A39" s="12"/>
      <c r="B39" s="185"/>
      <c r="C39" s="186"/>
      <c r="D39" s="187"/>
      <c r="E39" s="199" t="s">
        <v>120</v>
      </c>
      <c r="F39" s="199"/>
      <c r="G39" s="200"/>
      <c r="H39" s="12"/>
    </row>
  </sheetData>
  <mergeCells count="25">
    <mergeCell ref="D27:F27"/>
    <mergeCell ref="D29:F29"/>
    <mergeCell ref="C30:G30"/>
    <mergeCell ref="B31:D39"/>
    <mergeCell ref="E31:G32"/>
    <mergeCell ref="E33:G38"/>
    <mergeCell ref="E39:G39"/>
    <mergeCell ref="D28:F28"/>
    <mergeCell ref="D5:E5"/>
    <mergeCell ref="F5:G5"/>
    <mergeCell ref="D6:E6"/>
    <mergeCell ref="F6:G6"/>
    <mergeCell ref="D7:E7"/>
    <mergeCell ref="D8:E8"/>
    <mergeCell ref="F8:G8"/>
    <mergeCell ref="F7:G7"/>
    <mergeCell ref="D11:E11"/>
    <mergeCell ref="F11:G11"/>
    <mergeCell ref="D12:E12"/>
    <mergeCell ref="F12:G12"/>
    <mergeCell ref="D26:E26"/>
    <mergeCell ref="D9:E9"/>
    <mergeCell ref="F9:G9"/>
    <mergeCell ref="D10:E10"/>
    <mergeCell ref="F10:G10"/>
  </mergeCells>
  <pageMargins left="0.26" right="0.21" top="1.95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/>
  </sheetPr>
  <dimension ref="A1:M221"/>
  <sheetViews>
    <sheetView topLeftCell="A197" workbookViewId="0">
      <selection activeCell="A2" sqref="A2:L219"/>
    </sheetView>
  </sheetViews>
  <sheetFormatPr defaultColWidth="11.42578125" defaultRowHeight="15"/>
  <cols>
    <col min="1" max="1" width="8.140625" style="83" customWidth="1"/>
    <col min="2" max="2" width="54.7109375" customWidth="1"/>
    <col min="3" max="3" width="14.42578125" customWidth="1"/>
    <col min="4" max="4" width="11.7109375" customWidth="1"/>
    <col min="5" max="5" width="12" customWidth="1"/>
    <col min="6" max="6" width="14.42578125" customWidth="1"/>
    <col min="7" max="7" width="9.7109375" customWidth="1"/>
    <col min="8" max="8" width="12.7109375" customWidth="1"/>
    <col min="9" max="9" width="11.42578125" customWidth="1"/>
    <col min="10" max="10" width="14.140625" customWidth="1"/>
    <col min="11" max="12" width="14" customWidth="1"/>
  </cols>
  <sheetData>
    <row r="1" spans="1:13" ht="15.75" thickBot="1">
      <c r="G1" s="1"/>
      <c r="H1" s="3"/>
      <c r="I1" s="1"/>
      <c r="J1" s="1"/>
      <c r="K1" s="1"/>
      <c r="L1" s="1"/>
    </row>
    <row r="2" spans="1:13">
      <c r="A2" s="204" t="s">
        <v>1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6"/>
    </row>
    <row r="3" spans="1:13">
      <c r="A3" s="87" t="s">
        <v>2</v>
      </c>
      <c r="B3" s="88" t="s">
        <v>3</v>
      </c>
      <c r="C3" s="88"/>
      <c r="D3" s="89" t="s">
        <v>252</v>
      </c>
      <c r="E3" s="90"/>
      <c r="F3" s="91"/>
      <c r="G3" s="207" t="s">
        <v>303</v>
      </c>
      <c r="H3" s="208"/>
      <c r="I3" s="208"/>
      <c r="J3" s="92" t="s">
        <v>4</v>
      </c>
      <c r="K3" s="209" t="s">
        <v>453</v>
      </c>
      <c r="L3" s="210"/>
    </row>
    <row r="4" spans="1:13" ht="15" customHeight="1">
      <c r="A4" s="93" t="s">
        <v>5</v>
      </c>
      <c r="B4" s="94" t="s">
        <v>255</v>
      </c>
      <c r="C4" s="95"/>
      <c r="D4" s="208" t="s">
        <v>306</v>
      </c>
      <c r="E4" s="208"/>
      <c r="F4" s="212"/>
      <c r="G4" s="207" t="s">
        <v>448</v>
      </c>
      <c r="H4" s="208"/>
      <c r="I4" s="208"/>
      <c r="J4" s="92" t="s">
        <v>122</v>
      </c>
      <c r="K4" s="211" t="s">
        <v>449</v>
      </c>
      <c r="L4" s="210"/>
    </row>
    <row r="5" spans="1:13">
      <c r="A5" s="96"/>
      <c r="B5" s="201" t="s">
        <v>443</v>
      </c>
      <c r="C5" s="202"/>
      <c r="D5" s="202"/>
      <c r="E5" s="202"/>
      <c r="F5" s="202"/>
      <c r="G5" s="202"/>
      <c r="H5" s="202"/>
      <c r="I5" s="202"/>
      <c r="J5" s="202"/>
      <c r="K5" s="202"/>
      <c r="L5" s="203"/>
    </row>
    <row r="6" spans="1:13">
      <c r="A6" s="215" t="s">
        <v>6</v>
      </c>
      <c r="B6" s="217" t="s">
        <v>7</v>
      </c>
      <c r="C6" s="219" t="s">
        <v>12</v>
      </c>
      <c r="D6" s="218" t="s">
        <v>8</v>
      </c>
      <c r="E6" s="213" t="s">
        <v>9</v>
      </c>
      <c r="F6" s="213" t="s">
        <v>10</v>
      </c>
      <c r="G6" s="218" t="s">
        <v>11</v>
      </c>
      <c r="H6" s="218"/>
      <c r="I6" s="218"/>
      <c r="J6" s="213" t="s">
        <v>10</v>
      </c>
      <c r="K6" s="213"/>
      <c r="L6" s="214"/>
    </row>
    <row r="7" spans="1:13" ht="25.5">
      <c r="A7" s="216"/>
      <c r="B7" s="217"/>
      <c r="C7" s="220"/>
      <c r="D7" s="218"/>
      <c r="E7" s="213"/>
      <c r="F7" s="213"/>
      <c r="G7" s="97" t="s">
        <v>13</v>
      </c>
      <c r="H7" s="4" t="s">
        <v>14</v>
      </c>
      <c r="I7" s="97" t="s">
        <v>15</v>
      </c>
      <c r="J7" s="97" t="s">
        <v>16</v>
      </c>
      <c r="K7" s="97" t="s">
        <v>121</v>
      </c>
      <c r="L7" s="98" t="s">
        <v>15</v>
      </c>
    </row>
    <row r="8" spans="1:13">
      <c r="A8" s="62" t="s">
        <v>256</v>
      </c>
      <c r="B8" s="99" t="s">
        <v>123</v>
      </c>
      <c r="C8" s="46"/>
      <c r="D8" s="47"/>
      <c r="E8" s="6"/>
      <c r="F8" s="7"/>
      <c r="G8" s="46"/>
      <c r="H8" s="80"/>
      <c r="I8" s="46"/>
      <c r="J8" s="46"/>
      <c r="K8" s="8"/>
      <c r="L8" s="60"/>
    </row>
    <row r="9" spans="1:13">
      <c r="A9" s="61">
        <v>1</v>
      </c>
      <c r="B9" s="49" t="s">
        <v>124</v>
      </c>
      <c r="C9" s="11" t="s">
        <v>17</v>
      </c>
      <c r="D9" s="8">
        <v>4320</v>
      </c>
      <c r="E9" s="6">
        <v>140</v>
      </c>
      <c r="F9" s="7">
        <f>E9*D9</f>
        <v>604800</v>
      </c>
      <c r="G9" s="46">
        <v>0</v>
      </c>
      <c r="H9" s="80">
        <v>0</v>
      </c>
      <c r="I9" s="46">
        <f>G9+H9</f>
        <v>0</v>
      </c>
      <c r="J9" s="46">
        <f t="shared" ref="J9:J71" si="0">G9*E9</f>
        <v>0</v>
      </c>
      <c r="K9" s="8">
        <f t="shared" ref="K9:K71" si="1">H9*E9</f>
        <v>0</v>
      </c>
      <c r="L9" s="60">
        <f t="shared" ref="L9:L71" si="2">I9*E9</f>
        <v>0</v>
      </c>
    </row>
    <row r="10" spans="1:13">
      <c r="A10" s="61">
        <v>2</v>
      </c>
      <c r="B10" s="49" t="s">
        <v>125</v>
      </c>
      <c r="C10" s="11" t="s">
        <v>17</v>
      </c>
      <c r="D10" s="8">
        <v>5</v>
      </c>
      <c r="E10" s="6">
        <v>14960</v>
      </c>
      <c r="F10" s="7">
        <f t="shared" ref="F10:F71" si="3">E10*D10</f>
        <v>74800</v>
      </c>
      <c r="G10" s="46">
        <v>0</v>
      </c>
      <c r="H10" s="80">
        <v>0</v>
      </c>
      <c r="I10" s="46">
        <f>G10+H10</f>
        <v>0</v>
      </c>
      <c r="J10" s="46">
        <f t="shared" si="0"/>
        <v>0</v>
      </c>
      <c r="K10" s="8">
        <f t="shared" si="1"/>
        <v>0</v>
      </c>
      <c r="L10" s="60">
        <f t="shared" si="2"/>
        <v>0</v>
      </c>
    </row>
    <row r="11" spans="1:13">
      <c r="A11" s="61">
        <v>3</v>
      </c>
      <c r="B11" s="49" t="s">
        <v>126</v>
      </c>
      <c r="C11" s="11" t="s">
        <v>17</v>
      </c>
      <c r="D11" s="8">
        <v>5</v>
      </c>
      <c r="E11" s="6">
        <v>36960</v>
      </c>
      <c r="F11" s="7">
        <f t="shared" si="3"/>
        <v>184800</v>
      </c>
      <c r="G11" s="46">
        <v>0</v>
      </c>
      <c r="H11" s="80">
        <v>0</v>
      </c>
      <c r="I11" s="46">
        <f>G11+H11</f>
        <v>0</v>
      </c>
      <c r="J11" s="46">
        <f t="shared" si="0"/>
        <v>0</v>
      </c>
      <c r="K11" s="8">
        <f t="shared" si="1"/>
        <v>0</v>
      </c>
      <c r="L11" s="60">
        <f t="shared" si="2"/>
        <v>0</v>
      </c>
      <c r="M11" s="34"/>
    </row>
    <row r="12" spans="1:13">
      <c r="A12" s="62" t="s">
        <v>257</v>
      </c>
      <c r="B12" s="100" t="s">
        <v>127</v>
      </c>
      <c r="C12" s="101"/>
      <c r="D12" s="102"/>
      <c r="E12" s="6"/>
      <c r="F12" s="7"/>
      <c r="G12" s="46"/>
      <c r="H12" s="80">
        <v>0</v>
      </c>
      <c r="I12" s="46"/>
      <c r="J12" s="46"/>
      <c r="K12" s="8"/>
      <c r="L12" s="60"/>
    </row>
    <row r="13" spans="1:13">
      <c r="A13" s="63">
        <v>4</v>
      </c>
      <c r="B13" s="49" t="s">
        <v>128</v>
      </c>
      <c r="C13" s="11" t="s">
        <v>17</v>
      </c>
      <c r="D13" s="8">
        <v>5</v>
      </c>
      <c r="E13" s="6">
        <v>155936</v>
      </c>
      <c r="F13" s="7">
        <f t="shared" si="3"/>
        <v>779680</v>
      </c>
      <c r="G13" s="46">
        <v>3.5</v>
      </c>
      <c r="H13" s="80">
        <v>0</v>
      </c>
      <c r="I13" s="46">
        <f>G13+H13</f>
        <v>3.5</v>
      </c>
      <c r="J13" s="46">
        <f t="shared" si="0"/>
        <v>545776</v>
      </c>
      <c r="K13" s="8">
        <f t="shared" si="1"/>
        <v>0</v>
      </c>
      <c r="L13" s="60">
        <f t="shared" si="2"/>
        <v>545776</v>
      </c>
    </row>
    <row r="14" spans="1:13">
      <c r="A14" s="62" t="s">
        <v>258</v>
      </c>
      <c r="B14" s="100" t="s">
        <v>129</v>
      </c>
      <c r="C14" s="101"/>
      <c r="D14" s="102"/>
      <c r="E14" s="10"/>
      <c r="F14" s="7"/>
      <c r="G14" s="46"/>
      <c r="H14" s="80"/>
      <c r="I14" s="46"/>
      <c r="J14" s="46"/>
      <c r="K14" s="8"/>
      <c r="L14" s="60"/>
    </row>
    <row r="15" spans="1:13">
      <c r="A15" s="103">
        <v>5</v>
      </c>
      <c r="B15" s="49" t="s">
        <v>130</v>
      </c>
      <c r="C15" s="11" t="s">
        <v>17</v>
      </c>
      <c r="D15" s="8">
        <v>18</v>
      </c>
      <c r="E15" s="10">
        <v>418000</v>
      </c>
      <c r="F15" s="7">
        <f t="shared" si="3"/>
        <v>7524000</v>
      </c>
      <c r="G15" s="46">
        <v>18</v>
      </c>
      <c r="H15" s="80">
        <v>0</v>
      </c>
      <c r="I15" s="46">
        <f t="shared" ref="I15:I20" si="4">G15+H15</f>
        <v>18</v>
      </c>
      <c r="J15" s="46">
        <f t="shared" si="0"/>
        <v>7524000</v>
      </c>
      <c r="K15" s="8">
        <f t="shared" si="1"/>
        <v>0</v>
      </c>
      <c r="L15" s="60">
        <f t="shared" si="2"/>
        <v>7524000</v>
      </c>
    </row>
    <row r="16" spans="1:13">
      <c r="A16" s="63">
        <v>6</v>
      </c>
      <c r="B16" s="49" t="s">
        <v>18</v>
      </c>
      <c r="C16" s="11" t="s">
        <v>17</v>
      </c>
      <c r="D16" s="8">
        <v>18</v>
      </c>
      <c r="E16" s="10">
        <v>59840</v>
      </c>
      <c r="F16" s="7">
        <f t="shared" si="3"/>
        <v>1077120</v>
      </c>
      <c r="G16" s="46">
        <v>18</v>
      </c>
      <c r="H16" s="80">
        <v>0</v>
      </c>
      <c r="I16" s="46">
        <f t="shared" si="4"/>
        <v>18</v>
      </c>
      <c r="J16" s="46">
        <f t="shared" si="0"/>
        <v>1077120</v>
      </c>
      <c r="K16" s="8">
        <f t="shared" si="1"/>
        <v>0</v>
      </c>
      <c r="L16" s="60">
        <f t="shared" si="2"/>
        <v>1077120</v>
      </c>
    </row>
    <row r="17" spans="1:12">
      <c r="A17" s="63">
        <v>7</v>
      </c>
      <c r="B17" s="49" t="s">
        <v>19</v>
      </c>
      <c r="C17" s="11" t="s">
        <v>17</v>
      </c>
      <c r="D17" s="8">
        <v>18</v>
      </c>
      <c r="E17" s="10">
        <v>119816</v>
      </c>
      <c r="F17" s="7">
        <f t="shared" si="3"/>
        <v>2156688</v>
      </c>
      <c r="G17" s="46">
        <v>18</v>
      </c>
      <c r="H17" s="80">
        <v>0</v>
      </c>
      <c r="I17" s="46">
        <f t="shared" si="4"/>
        <v>18</v>
      </c>
      <c r="J17" s="46">
        <f t="shared" si="0"/>
        <v>2156688</v>
      </c>
      <c r="K17" s="8">
        <f t="shared" si="1"/>
        <v>0</v>
      </c>
      <c r="L17" s="60">
        <f t="shared" si="2"/>
        <v>2156688</v>
      </c>
    </row>
    <row r="18" spans="1:12">
      <c r="A18" s="63">
        <v>8</v>
      </c>
      <c r="B18" s="49" t="s">
        <v>20</v>
      </c>
      <c r="C18" s="11" t="s">
        <v>17</v>
      </c>
      <c r="D18" s="8">
        <v>18</v>
      </c>
      <c r="E18" s="10">
        <v>70798</v>
      </c>
      <c r="F18" s="7">
        <f t="shared" si="3"/>
        <v>1274364</v>
      </c>
      <c r="G18" s="46">
        <v>18</v>
      </c>
      <c r="H18" s="80">
        <v>0</v>
      </c>
      <c r="I18" s="46">
        <f t="shared" si="4"/>
        <v>18</v>
      </c>
      <c r="J18" s="46">
        <f t="shared" si="0"/>
        <v>1274364</v>
      </c>
      <c r="K18" s="8">
        <f t="shared" si="1"/>
        <v>0</v>
      </c>
      <c r="L18" s="60">
        <f t="shared" si="2"/>
        <v>1274364</v>
      </c>
    </row>
    <row r="19" spans="1:12">
      <c r="A19" s="63">
        <v>9</v>
      </c>
      <c r="B19" s="49" t="s">
        <v>21</v>
      </c>
      <c r="C19" s="11" t="s">
        <v>17</v>
      </c>
      <c r="D19" s="8">
        <v>18</v>
      </c>
      <c r="E19" s="10">
        <v>20439</v>
      </c>
      <c r="F19" s="7">
        <f t="shared" si="3"/>
        <v>367902</v>
      </c>
      <c r="G19" s="46">
        <v>18</v>
      </c>
      <c r="H19" s="80">
        <v>0</v>
      </c>
      <c r="I19" s="46">
        <f t="shared" si="4"/>
        <v>18</v>
      </c>
      <c r="J19" s="46">
        <f t="shared" si="0"/>
        <v>367902</v>
      </c>
      <c r="K19" s="8">
        <f t="shared" si="1"/>
        <v>0</v>
      </c>
      <c r="L19" s="60">
        <f t="shared" si="2"/>
        <v>367902</v>
      </c>
    </row>
    <row r="20" spans="1:12">
      <c r="A20" s="63">
        <v>10</v>
      </c>
      <c r="B20" s="49" t="s">
        <v>21</v>
      </c>
      <c r="C20" s="11" t="s">
        <v>17</v>
      </c>
      <c r="D20" s="8">
        <v>18</v>
      </c>
      <c r="E20" s="10">
        <v>18571</v>
      </c>
      <c r="F20" s="7">
        <f t="shared" si="3"/>
        <v>334278</v>
      </c>
      <c r="G20" s="46">
        <v>18</v>
      </c>
      <c r="H20" s="80">
        <v>0</v>
      </c>
      <c r="I20" s="46">
        <f t="shared" si="4"/>
        <v>18</v>
      </c>
      <c r="J20" s="46">
        <f t="shared" si="0"/>
        <v>334278</v>
      </c>
      <c r="K20" s="8">
        <f t="shared" si="1"/>
        <v>0</v>
      </c>
      <c r="L20" s="60">
        <f t="shared" si="2"/>
        <v>334278</v>
      </c>
    </row>
    <row r="21" spans="1:12">
      <c r="A21" s="62" t="s">
        <v>259</v>
      </c>
      <c r="B21" s="100" t="s">
        <v>131</v>
      </c>
      <c r="C21" s="101"/>
      <c r="D21" s="102"/>
      <c r="E21" s="10"/>
      <c r="F21" s="7"/>
      <c r="G21" s="46"/>
      <c r="H21" s="80"/>
      <c r="I21" s="46"/>
      <c r="J21" s="46"/>
      <c r="K21" s="8"/>
      <c r="L21" s="60"/>
    </row>
    <row r="22" spans="1:12">
      <c r="A22" s="63">
        <v>11</v>
      </c>
      <c r="B22" s="49" t="s">
        <v>132</v>
      </c>
      <c r="C22" s="11" t="s">
        <v>17</v>
      </c>
      <c r="D22" s="8">
        <v>18</v>
      </c>
      <c r="E22" s="10">
        <v>418000</v>
      </c>
      <c r="F22" s="7">
        <f t="shared" si="3"/>
        <v>7524000</v>
      </c>
      <c r="G22" s="46">
        <v>18</v>
      </c>
      <c r="H22" s="80">
        <v>0</v>
      </c>
      <c r="I22" s="46">
        <f>G22+H22</f>
        <v>18</v>
      </c>
      <c r="J22" s="46">
        <f t="shared" si="0"/>
        <v>7524000</v>
      </c>
      <c r="K22" s="8">
        <f t="shared" si="1"/>
        <v>0</v>
      </c>
      <c r="L22" s="60">
        <f t="shared" si="2"/>
        <v>7524000</v>
      </c>
    </row>
    <row r="23" spans="1:12">
      <c r="A23" s="63">
        <v>12</v>
      </c>
      <c r="B23" s="49" t="s">
        <v>19</v>
      </c>
      <c r="C23" s="11" t="s">
        <v>17</v>
      </c>
      <c r="D23" s="8">
        <v>18</v>
      </c>
      <c r="E23" s="6">
        <v>269938</v>
      </c>
      <c r="F23" s="7">
        <f t="shared" si="3"/>
        <v>4858884</v>
      </c>
      <c r="G23" s="46">
        <v>18</v>
      </c>
      <c r="H23" s="80">
        <v>0</v>
      </c>
      <c r="I23" s="46">
        <f>G23+H23</f>
        <v>18</v>
      </c>
      <c r="J23" s="46">
        <f t="shared" si="0"/>
        <v>4858884</v>
      </c>
      <c r="K23" s="8">
        <f t="shared" si="1"/>
        <v>0</v>
      </c>
      <c r="L23" s="60">
        <f t="shared" si="2"/>
        <v>4858884</v>
      </c>
    </row>
    <row r="24" spans="1:12">
      <c r="A24" s="63">
        <v>13</v>
      </c>
      <c r="B24" s="49" t="s">
        <v>21</v>
      </c>
      <c r="C24" s="11" t="s">
        <v>17</v>
      </c>
      <c r="D24" s="8">
        <v>18</v>
      </c>
      <c r="E24" s="10">
        <v>20439</v>
      </c>
      <c r="F24" s="7">
        <f t="shared" si="3"/>
        <v>367902</v>
      </c>
      <c r="G24" s="46">
        <v>18</v>
      </c>
      <c r="H24" s="80">
        <v>0</v>
      </c>
      <c r="I24" s="46">
        <f>G24+H24</f>
        <v>18</v>
      </c>
      <c r="J24" s="46">
        <f t="shared" si="0"/>
        <v>367902</v>
      </c>
      <c r="K24" s="8">
        <f t="shared" si="1"/>
        <v>0</v>
      </c>
      <c r="L24" s="60">
        <f t="shared" si="2"/>
        <v>367902</v>
      </c>
    </row>
    <row r="25" spans="1:12">
      <c r="A25" s="63">
        <v>14</v>
      </c>
      <c r="B25" s="49" t="s">
        <v>21</v>
      </c>
      <c r="C25" s="11" t="s">
        <v>17</v>
      </c>
      <c r="D25" s="8">
        <v>18</v>
      </c>
      <c r="E25" s="10">
        <v>70798</v>
      </c>
      <c r="F25" s="7">
        <f t="shared" si="3"/>
        <v>1274364</v>
      </c>
      <c r="G25" s="46">
        <v>18</v>
      </c>
      <c r="H25" s="80">
        <v>0</v>
      </c>
      <c r="I25" s="46">
        <f>G25+H25</f>
        <v>18</v>
      </c>
      <c r="J25" s="46">
        <f t="shared" si="0"/>
        <v>1274364</v>
      </c>
      <c r="K25" s="8">
        <f t="shared" si="1"/>
        <v>0</v>
      </c>
      <c r="L25" s="60">
        <f t="shared" si="2"/>
        <v>1274364</v>
      </c>
    </row>
    <row r="26" spans="1:12">
      <c r="A26" s="62" t="s">
        <v>261</v>
      </c>
      <c r="B26" s="100" t="s">
        <v>133</v>
      </c>
      <c r="C26" s="101"/>
      <c r="D26" s="102"/>
      <c r="E26" s="10"/>
      <c r="F26" s="7"/>
      <c r="G26" s="46"/>
      <c r="H26" s="80">
        <v>0</v>
      </c>
      <c r="I26" s="46"/>
      <c r="J26" s="46"/>
      <c r="K26" s="8"/>
      <c r="L26" s="60"/>
    </row>
    <row r="27" spans="1:12">
      <c r="A27" s="63">
        <v>14</v>
      </c>
      <c r="B27" s="49" t="s">
        <v>134</v>
      </c>
      <c r="C27" s="11" t="s">
        <v>17</v>
      </c>
      <c r="D27" s="8">
        <v>3</v>
      </c>
      <c r="E27" s="10">
        <v>41784</v>
      </c>
      <c r="F27" s="7">
        <f t="shared" si="3"/>
        <v>125352</v>
      </c>
      <c r="G27" s="46">
        <v>0</v>
      </c>
      <c r="H27" s="80">
        <v>0</v>
      </c>
      <c r="I27" s="46">
        <f>G27+H27</f>
        <v>0</v>
      </c>
      <c r="J27" s="46">
        <f t="shared" si="0"/>
        <v>0</v>
      </c>
      <c r="K27" s="8">
        <f t="shared" si="1"/>
        <v>0</v>
      </c>
      <c r="L27" s="60">
        <f t="shared" si="2"/>
        <v>0</v>
      </c>
    </row>
    <row r="28" spans="1:12">
      <c r="A28" s="63">
        <v>15</v>
      </c>
      <c r="B28" s="49" t="s">
        <v>135</v>
      </c>
      <c r="C28" s="11" t="s">
        <v>17</v>
      </c>
      <c r="D28" s="8">
        <v>3</v>
      </c>
      <c r="E28" s="10">
        <v>41784</v>
      </c>
      <c r="F28" s="7">
        <f t="shared" si="3"/>
        <v>125352</v>
      </c>
      <c r="G28" s="46">
        <v>0</v>
      </c>
      <c r="H28" s="80">
        <v>0</v>
      </c>
      <c r="I28" s="46">
        <f>G28+H28</f>
        <v>0</v>
      </c>
      <c r="J28" s="46">
        <f t="shared" si="0"/>
        <v>0</v>
      </c>
      <c r="K28" s="8">
        <f t="shared" si="1"/>
        <v>0</v>
      </c>
      <c r="L28" s="60">
        <f t="shared" si="2"/>
        <v>0</v>
      </c>
    </row>
    <row r="29" spans="1:12">
      <c r="A29" s="62" t="s">
        <v>262</v>
      </c>
      <c r="B29" s="100" t="s">
        <v>136</v>
      </c>
      <c r="C29" s="101"/>
      <c r="D29" s="102"/>
      <c r="E29" s="10"/>
      <c r="F29" s="7"/>
      <c r="G29" s="46"/>
      <c r="H29" s="80"/>
      <c r="I29" s="46"/>
      <c r="J29" s="46"/>
      <c r="K29" s="8"/>
      <c r="L29" s="60"/>
    </row>
    <row r="30" spans="1:12">
      <c r="A30" s="63">
        <v>16</v>
      </c>
      <c r="B30" s="49" t="s">
        <v>137</v>
      </c>
      <c r="C30" s="11" t="s">
        <v>17</v>
      </c>
      <c r="D30" s="8">
        <v>3</v>
      </c>
      <c r="E30" s="6">
        <v>26976</v>
      </c>
      <c r="F30" s="7">
        <f t="shared" si="3"/>
        <v>80928</v>
      </c>
      <c r="G30" s="46">
        <v>2.5</v>
      </c>
      <c r="H30" s="80">
        <v>0</v>
      </c>
      <c r="I30" s="46">
        <f>G30+H30</f>
        <v>2.5</v>
      </c>
      <c r="J30" s="46">
        <f t="shared" si="0"/>
        <v>67440</v>
      </c>
      <c r="K30" s="8">
        <f t="shared" si="1"/>
        <v>0</v>
      </c>
      <c r="L30" s="60">
        <f t="shared" si="2"/>
        <v>67440</v>
      </c>
    </row>
    <row r="31" spans="1:12">
      <c r="A31" s="63">
        <v>17</v>
      </c>
      <c r="B31" s="49" t="s">
        <v>138</v>
      </c>
      <c r="C31" s="11" t="s">
        <v>17</v>
      </c>
      <c r="D31" s="8">
        <v>3</v>
      </c>
      <c r="E31" s="6">
        <v>26976</v>
      </c>
      <c r="F31" s="7">
        <f t="shared" si="3"/>
        <v>80928</v>
      </c>
      <c r="G31" s="46">
        <v>2.5</v>
      </c>
      <c r="H31" s="80">
        <v>0</v>
      </c>
      <c r="I31" s="46">
        <f>G31+H31</f>
        <v>2.5</v>
      </c>
      <c r="J31" s="46">
        <f t="shared" si="0"/>
        <v>67440</v>
      </c>
      <c r="K31" s="8">
        <f t="shared" si="1"/>
        <v>0</v>
      </c>
      <c r="L31" s="60">
        <f t="shared" si="2"/>
        <v>67440</v>
      </c>
    </row>
    <row r="32" spans="1:12">
      <c r="A32" s="62" t="s">
        <v>263</v>
      </c>
      <c r="B32" s="100" t="s">
        <v>139</v>
      </c>
      <c r="C32" s="101"/>
      <c r="D32" s="102"/>
      <c r="E32" s="6"/>
      <c r="F32" s="7"/>
      <c r="G32" s="46"/>
      <c r="H32" s="80"/>
      <c r="I32" s="46"/>
      <c r="J32" s="46"/>
      <c r="K32" s="8"/>
      <c r="L32" s="60"/>
    </row>
    <row r="33" spans="1:12">
      <c r="A33" s="63">
        <v>18</v>
      </c>
      <c r="B33" s="49" t="s">
        <v>140</v>
      </c>
      <c r="C33" s="11" t="s">
        <v>17</v>
      </c>
      <c r="D33" s="8">
        <v>8</v>
      </c>
      <c r="E33" s="6">
        <v>62400</v>
      </c>
      <c r="F33" s="7">
        <f t="shared" si="3"/>
        <v>499200</v>
      </c>
      <c r="G33" s="46">
        <v>8</v>
      </c>
      <c r="H33" s="80">
        <v>0</v>
      </c>
      <c r="I33" s="46">
        <f>G33+H33</f>
        <v>8</v>
      </c>
      <c r="J33" s="46">
        <f t="shared" si="0"/>
        <v>499200</v>
      </c>
      <c r="K33" s="8">
        <f t="shared" si="1"/>
        <v>0</v>
      </c>
      <c r="L33" s="60">
        <f t="shared" si="2"/>
        <v>499200</v>
      </c>
    </row>
    <row r="34" spans="1:12">
      <c r="A34" s="62" t="s">
        <v>264</v>
      </c>
      <c r="B34" s="100" t="s">
        <v>141</v>
      </c>
      <c r="C34" s="101"/>
      <c r="D34" s="102"/>
      <c r="E34" s="6"/>
      <c r="F34" s="7"/>
      <c r="G34" s="46"/>
      <c r="H34" s="80"/>
      <c r="I34" s="46"/>
      <c r="J34" s="46"/>
      <c r="K34" s="8"/>
      <c r="L34" s="60"/>
    </row>
    <row r="35" spans="1:12">
      <c r="A35" s="72">
        <v>19</v>
      </c>
      <c r="B35" s="73" t="s">
        <v>25</v>
      </c>
      <c r="C35" s="74" t="s">
        <v>17</v>
      </c>
      <c r="D35" s="75">
        <v>896</v>
      </c>
      <c r="E35" s="84">
        <v>4656</v>
      </c>
      <c r="F35" s="76">
        <f t="shared" si="3"/>
        <v>4171776</v>
      </c>
      <c r="G35" s="77">
        <v>128</v>
      </c>
      <c r="H35" s="81">
        <v>256</v>
      </c>
      <c r="I35" s="77">
        <f>G35+H35</f>
        <v>384</v>
      </c>
      <c r="J35" s="77">
        <f t="shared" si="0"/>
        <v>595968</v>
      </c>
      <c r="K35" s="75">
        <f t="shared" si="1"/>
        <v>1191936</v>
      </c>
      <c r="L35" s="78">
        <f t="shared" si="2"/>
        <v>1787904</v>
      </c>
    </row>
    <row r="36" spans="1:12">
      <c r="A36" s="63">
        <v>20</v>
      </c>
      <c r="B36" s="49" t="s">
        <v>26</v>
      </c>
      <c r="C36" s="11" t="s">
        <v>17</v>
      </c>
      <c r="D36" s="8">
        <v>7672</v>
      </c>
      <c r="E36" s="6">
        <v>725</v>
      </c>
      <c r="F36" s="7">
        <f t="shared" si="3"/>
        <v>5562200</v>
      </c>
      <c r="G36" s="46">
        <v>0</v>
      </c>
      <c r="H36" s="80">
        <v>0</v>
      </c>
      <c r="I36" s="46">
        <f>G36+H36</f>
        <v>0</v>
      </c>
      <c r="J36" s="46">
        <f t="shared" si="0"/>
        <v>0</v>
      </c>
      <c r="K36" s="8">
        <f t="shared" si="1"/>
        <v>0</v>
      </c>
      <c r="L36" s="60">
        <f t="shared" si="2"/>
        <v>0</v>
      </c>
    </row>
    <row r="37" spans="1:12">
      <c r="A37" s="62" t="s">
        <v>265</v>
      </c>
      <c r="B37" s="100" t="s">
        <v>142</v>
      </c>
      <c r="C37" s="101"/>
      <c r="D37" s="102"/>
      <c r="E37" s="6"/>
      <c r="F37" s="7"/>
      <c r="G37" s="46"/>
      <c r="H37" s="80"/>
      <c r="I37" s="46"/>
      <c r="J37" s="46"/>
      <c r="K37" s="8"/>
      <c r="L37" s="60"/>
    </row>
    <row r="38" spans="1:12">
      <c r="A38" s="72">
        <v>21</v>
      </c>
      <c r="B38" s="73" t="s">
        <v>22</v>
      </c>
      <c r="C38" s="74" t="s">
        <v>17</v>
      </c>
      <c r="D38" s="75">
        <v>7</v>
      </c>
      <c r="E38" s="84">
        <v>178128</v>
      </c>
      <c r="F38" s="76">
        <f t="shared" si="3"/>
        <v>1246896</v>
      </c>
      <c r="G38" s="77">
        <v>2.25</v>
      </c>
      <c r="H38" s="81">
        <v>3.2</v>
      </c>
      <c r="I38" s="77">
        <f>G38+H38</f>
        <v>5.45</v>
      </c>
      <c r="J38" s="77">
        <f t="shared" si="0"/>
        <v>400788</v>
      </c>
      <c r="K38" s="75">
        <f t="shared" si="1"/>
        <v>570009.59999999998</v>
      </c>
      <c r="L38" s="78">
        <f t="shared" si="2"/>
        <v>970797.6</v>
      </c>
    </row>
    <row r="39" spans="1:12">
      <c r="A39" s="72">
        <v>22</v>
      </c>
      <c r="B39" s="73" t="s">
        <v>23</v>
      </c>
      <c r="C39" s="74" t="s">
        <v>17</v>
      </c>
      <c r="D39" s="75">
        <v>7</v>
      </c>
      <c r="E39" s="84">
        <v>81936</v>
      </c>
      <c r="F39" s="76">
        <f t="shared" si="3"/>
        <v>573552</v>
      </c>
      <c r="G39" s="77">
        <v>2.25</v>
      </c>
      <c r="H39" s="81">
        <v>3.2</v>
      </c>
      <c r="I39" s="77">
        <f>G39+H39</f>
        <v>5.45</v>
      </c>
      <c r="J39" s="77">
        <f t="shared" si="0"/>
        <v>184356</v>
      </c>
      <c r="K39" s="75">
        <f t="shared" si="1"/>
        <v>262195.20000000001</v>
      </c>
      <c r="L39" s="78">
        <f t="shared" si="2"/>
        <v>446551.2</v>
      </c>
    </row>
    <row r="40" spans="1:12">
      <c r="A40" s="63">
        <v>23</v>
      </c>
      <c r="B40" s="49" t="s">
        <v>24</v>
      </c>
      <c r="C40" s="11" t="s">
        <v>17</v>
      </c>
      <c r="D40" s="8">
        <v>77</v>
      </c>
      <c r="E40" s="6">
        <v>5000</v>
      </c>
      <c r="F40" s="7">
        <f t="shared" si="3"/>
        <v>385000</v>
      </c>
      <c r="G40" s="46">
        <v>0</v>
      </c>
      <c r="H40" s="80">
        <v>0</v>
      </c>
      <c r="I40" s="46">
        <f>G40+H40</f>
        <v>0</v>
      </c>
      <c r="J40" s="46">
        <f t="shared" si="0"/>
        <v>0</v>
      </c>
      <c r="K40" s="8">
        <f t="shared" si="1"/>
        <v>0</v>
      </c>
      <c r="L40" s="60">
        <f t="shared" si="2"/>
        <v>0</v>
      </c>
    </row>
    <row r="41" spans="1:12" s="79" customFormat="1">
      <c r="A41" s="72">
        <v>24</v>
      </c>
      <c r="B41" s="73" t="s">
        <v>27</v>
      </c>
      <c r="C41" s="74" t="s">
        <v>17</v>
      </c>
      <c r="D41" s="75">
        <v>21</v>
      </c>
      <c r="E41" s="84">
        <v>42000</v>
      </c>
      <c r="F41" s="76">
        <f t="shared" si="3"/>
        <v>882000</v>
      </c>
      <c r="G41" s="77">
        <v>3</v>
      </c>
      <c r="H41" s="81">
        <v>6</v>
      </c>
      <c r="I41" s="77">
        <f>G41+H41</f>
        <v>9</v>
      </c>
      <c r="J41" s="77">
        <f t="shared" si="0"/>
        <v>126000</v>
      </c>
      <c r="K41" s="75">
        <f t="shared" si="1"/>
        <v>252000</v>
      </c>
      <c r="L41" s="78">
        <f t="shared" si="2"/>
        <v>378000</v>
      </c>
    </row>
    <row r="42" spans="1:12">
      <c r="A42" s="62" t="s">
        <v>266</v>
      </c>
      <c r="B42" s="100" t="s">
        <v>143</v>
      </c>
      <c r="C42" s="101"/>
      <c r="D42" s="102"/>
      <c r="E42" s="6"/>
      <c r="F42" s="7"/>
      <c r="G42" s="46"/>
      <c r="H42" s="80"/>
      <c r="I42" s="46"/>
      <c r="J42" s="46"/>
      <c r="K42" s="8"/>
      <c r="L42" s="60"/>
    </row>
    <row r="43" spans="1:12">
      <c r="A43" s="63">
        <v>25</v>
      </c>
      <c r="B43" s="49" t="s">
        <v>28</v>
      </c>
      <c r="C43" s="11" t="s">
        <v>17</v>
      </c>
      <c r="D43" s="8">
        <v>6</v>
      </c>
      <c r="E43" s="6">
        <v>40800</v>
      </c>
      <c r="F43" s="7">
        <f t="shared" si="3"/>
        <v>244800</v>
      </c>
      <c r="G43" s="46">
        <v>0</v>
      </c>
      <c r="H43" s="80">
        <v>0</v>
      </c>
      <c r="I43" s="46">
        <f>G43+H43</f>
        <v>0</v>
      </c>
      <c r="J43" s="46">
        <f t="shared" si="0"/>
        <v>0</v>
      </c>
      <c r="K43" s="8">
        <f t="shared" si="1"/>
        <v>0</v>
      </c>
      <c r="L43" s="60">
        <f t="shared" si="2"/>
        <v>0</v>
      </c>
    </row>
    <row r="44" spans="1:12">
      <c r="A44" s="62" t="s">
        <v>267</v>
      </c>
      <c r="B44" s="100" t="s">
        <v>144</v>
      </c>
      <c r="C44" s="101"/>
      <c r="D44" s="102"/>
      <c r="E44" s="6"/>
      <c r="F44" s="7"/>
      <c r="G44" s="46"/>
      <c r="H44" s="80">
        <v>0</v>
      </c>
      <c r="I44" s="46"/>
      <c r="J44" s="46"/>
      <c r="K44" s="8"/>
      <c r="L44" s="60"/>
    </row>
    <row r="45" spans="1:12">
      <c r="A45" s="63">
        <v>26</v>
      </c>
      <c r="B45" s="49" t="s">
        <v>145</v>
      </c>
      <c r="C45" s="11" t="s">
        <v>17</v>
      </c>
      <c r="D45" s="8">
        <v>3</v>
      </c>
      <c r="E45" s="6">
        <v>34200</v>
      </c>
      <c r="F45" s="7">
        <f t="shared" si="3"/>
        <v>102600</v>
      </c>
      <c r="G45" s="46">
        <v>0</v>
      </c>
      <c r="H45" s="80">
        <v>0</v>
      </c>
      <c r="I45" s="46">
        <f>G45+H45</f>
        <v>0</v>
      </c>
      <c r="J45" s="46">
        <f t="shared" si="0"/>
        <v>0</v>
      </c>
      <c r="K45" s="8">
        <f t="shared" si="1"/>
        <v>0</v>
      </c>
      <c r="L45" s="60">
        <f t="shared" si="2"/>
        <v>0</v>
      </c>
    </row>
    <row r="46" spans="1:12">
      <c r="A46" s="62" t="s">
        <v>268</v>
      </c>
      <c r="B46" s="100" t="s">
        <v>146</v>
      </c>
      <c r="C46" s="101"/>
      <c r="D46" s="102"/>
      <c r="E46" s="6"/>
      <c r="F46" s="7"/>
      <c r="G46" s="46"/>
      <c r="H46" s="80">
        <v>0</v>
      </c>
      <c r="I46" s="46"/>
      <c r="J46" s="46"/>
      <c r="K46" s="8"/>
      <c r="L46" s="60"/>
    </row>
    <row r="47" spans="1:12">
      <c r="A47" s="63">
        <v>27</v>
      </c>
      <c r="B47" s="49" t="s">
        <v>147</v>
      </c>
      <c r="C47" s="11" t="s">
        <v>17</v>
      </c>
      <c r="D47" s="8">
        <v>6</v>
      </c>
      <c r="E47" s="6">
        <v>31200</v>
      </c>
      <c r="F47" s="7">
        <f t="shared" si="3"/>
        <v>187200</v>
      </c>
      <c r="G47" s="46">
        <v>0</v>
      </c>
      <c r="H47" s="80">
        <v>0</v>
      </c>
      <c r="I47" s="46">
        <f>G47+H47</f>
        <v>0</v>
      </c>
      <c r="J47" s="46">
        <f t="shared" si="0"/>
        <v>0</v>
      </c>
      <c r="K47" s="8">
        <f t="shared" si="1"/>
        <v>0</v>
      </c>
      <c r="L47" s="60">
        <f t="shared" si="2"/>
        <v>0</v>
      </c>
    </row>
    <row r="48" spans="1:12">
      <c r="A48" s="62" t="s">
        <v>269</v>
      </c>
      <c r="B48" s="100" t="s">
        <v>148</v>
      </c>
      <c r="C48" s="101"/>
      <c r="D48" s="102"/>
      <c r="E48" s="6"/>
      <c r="F48" s="7"/>
      <c r="G48" s="46"/>
      <c r="H48" s="80">
        <v>0</v>
      </c>
      <c r="I48" s="46"/>
      <c r="J48" s="46"/>
      <c r="K48" s="8"/>
      <c r="L48" s="60"/>
    </row>
    <row r="49" spans="1:13">
      <c r="A49" s="61">
        <v>28</v>
      </c>
      <c r="B49" s="49" t="s">
        <v>29</v>
      </c>
      <c r="C49" s="11" t="s">
        <v>17</v>
      </c>
      <c r="D49" s="8">
        <v>1</v>
      </c>
      <c r="E49" s="6">
        <v>9500</v>
      </c>
      <c r="F49" s="7">
        <f t="shared" si="3"/>
        <v>9500</v>
      </c>
      <c r="G49" s="46">
        <v>0</v>
      </c>
      <c r="H49" s="80">
        <v>0</v>
      </c>
      <c r="I49" s="46">
        <f>G49+H49</f>
        <v>0</v>
      </c>
      <c r="J49" s="46">
        <f t="shared" si="0"/>
        <v>0</v>
      </c>
      <c r="K49" s="8">
        <f t="shared" si="1"/>
        <v>0</v>
      </c>
      <c r="L49" s="60">
        <f t="shared" si="2"/>
        <v>0</v>
      </c>
    </row>
    <row r="50" spans="1:13">
      <c r="A50" s="62" t="s">
        <v>270</v>
      </c>
      <c r="B50" s="100" t="s">
        <v>149</v>
      </c>
      <c r="C50" s="101"/>
      <c r="D50" s="102"/>
      <c r="E50" s="10"/>
      <c r="F50" s="7"/>
      <c r="G50" s="46"/>
      <c r="H50" s="80">
        <v>0</v>
      </c>
      <c r="I50" s="46"/>
      <c r="J50" s="46"/>
      <c r="K50" s="8"/>
      <c r="L50" s="60"/>
    </row>
    <row r="51" spans="1:13">
      <c r="A51" s="63">
        <v>29</v>
      </c>
      <c r="B51" s="49" t="s">
        <v>30</v>
      </c>
      <c r="C51" s="11" t="s">
        <v>17</v>
      </c>
      <c r="D51" s="8">
        <v>5</v>
      </c>
      <c r="E51" s="6">
        <v>73944</v>
      </c>
      <c r="F51" s="7">
        <f t="shared" si="3"/>
        <v>369720</v>
      </c>
      <c r="G51" s="46">
        <v>0</v>
      </c>
      <c r="H51" s="80">
        <v>0</v>
      </c>
      <c r="I51" s="46">
        <f>G51+H51</f>
        <v>0</v>
      </c>
      <c r="J51" s="46">
        <f t="shared" si="0"/>
        <v>0</v>
      </c>
      <c r="K51" s="8">
        <f t="shared" si="1"/>
        <v>0</v>
      </c>
      <c r="L51" s="60">
        <f t="shared" si="2"/>
        <v>0</v>
      </c>
    </row>
    <row r="52" spans="1:13">
      <c r="A52" s="63">
        <v>30</v>
      </c>
      <c r="B52" s="49" t="s">
        <v>31</v>
      </c>
      <c r="C52" s="11" t="s">
        <v>17</v>
      </c>
      <c r="D52" s="8">
        <v>245</v>
      </c>
      <c r="E52" s="6">
        <v>4850</v>
      </c>
      <c r="F52" s="7">
        <f t="shared" si="3"/>
        <v>1188250</v>
      </c>
      <c r="G52" s="46">
        <v>0</v>
      </c>
      <c r="H52" s="80">
        <v>0</v>
      </c>
      <c r="I52" s="46">
        <f>G52+H52</f>
        <v>0</v>
      </c>
      <c r="J52" s="46">
        <f t="shared" si="0"/>
        <v>0</v>
      </c>
      <c r="K52" s="8">
        <f t="shared" si="1"/>
        <v>0</v>
      </c>
      <c r="L52" s="60">
        <f t="shared" si="2"/>
        <v>0</v>
      </c>
    </row>
    <row r="53" spans="1:13">
      <c r="A53" s="63">
        <v>31</v>
      </c>
      <c r="B53" s="49" t="s">
        <v>32</v>
      </c>
      <c r="C53" s="11" t="s">
        <v>17</v>
      </c>
      <c r="D53" s="8">
        <v>1715</v>
      </c>
      <c r="E53" s="6">
        <v>725</v>
      </c>
      <c r="F53" s="7">
        <f t="shared" si="3"/>
        <v>1243375</v>
      </c>
      <c r="G53" s="46">
        <v>0</v>
      </c>
      <c r="H53" s="80">
        <v>0</v>
      </c>
      <c r="I53" s="46">
        <f>G53+H53</f>
        <v>0</v>
      </c>
      <c r="J53" s="46">
        <f t="shared" si="0"/>
        <v>0</v>
      </c>
      <c r="K53" s="8">
        <f t="shared" si="1"/>
        <v>0</v>
      </c>
      <c r="L53" s="60">
        <f t="shared" si="2"/>
        <v>0</v>
      </c>
    </row>
    <row r="54" spans="1:13">
      <c r="A54" s="62" t="s">
        <v>271</v>
      </c>
      <c r="B54" s="100" t="s">
        <v>150</v>
      </c>
      <c r="C54" s="101"/>
      <c r="D54" s="102"/>
      <c r="E54" s="6"/>
      <c r="F54" s="7"/>
      <c r="G54" s="46"/>
      <c r="H54" s="80">
        <v>0</v>
      </c>
      <c r="I54" s="46"/>
      <c r="J54" s="46"/>
      <c r="K54" s="8"/>
      <c r="L54" s="60"/>
    </row>
    <row r="55" spans="1:13">
      <c r="A55" s="63">
        <v>32</v>
      </c>
      <c r="B55" s="49" t="s">
        <v>151</v>
      </c>
      <c r="C55" s="11" t="s">
        <v>17</v>
      </c>
      <c r="D55" s="8">
        <v>4</v>
      </c>
      <c r="E55" s="6">
        <v>55608</v>
      </c>
      <c r="F55" s="7">
        <f t="shared" si="3"/>
        <v>222432</v>
      </c>
      <c r="G55" s="46">
        <v>0</v>
      </c>
      <c r="H55" s="80">
        <v>0</v>
      </c>
      <c r="I55" s="46">
        <f t="shared" ref="I55:I117" si="5">G55+H55</f>
        <v>0</v>
      </c>
      <c r="J55" s="46">
        <f t="shared" si="0"/>
        <v>0</v>
      </c>
      <c r="K55" s="8">
        <f t="shared" si="1"/>
        <v>0</v>
      </c>
      <c r="L55" s="60">
        <f t="shared" si="2"/>
        <v>0</v>
      </c>
    </row>
    <row r="56" spans="1:13">
      <c r="A56" s="62" t="s">
        <v>272</v>
      </c>
      <c r="B56" s="100" t="s">
        <v>152</v>
      </c>
      <c r="C56" s="101"/>
      <c r="D56" s="102"/>
      <c r="E56" s="6"/>
      <c r="F56" s="7">
        <f t="shared" si="3"/>
        <v>0</v>
      </c>
      <c r="G56" s="46">
        <v>0</v>
      </c>
      <c r="H56" s="80">
        <v>0</v>
      </c>
      <c r="I56" s="46">
        <f t="shared" si="5"/>
        <v>0</v>
      </c>
      <c r="J56" s="46">
        <f t="shared" si="0"/>
        <v>0</v>
      </c>
      <c r="K56" s="8">
        <f t="shared" si="1"/>
        <v>0</v>
      </c>
      <c r="L56" s="60">
        <f t="shared" si="2"/>
        <v>0</v>
      </c>
    </row>
    <row r="57" spans="1:13" s="79" customFormat="1">
      <c r="A57" s="63">
        <v>33</v>
      </c>
      <c r="B57" s="49" t="s">
        <v>153</v>
      </c>
      <c r="C57" s="11" t="s">
        <v>17</v>
      </c>
      <c r="D57" s="8">
        <v>12</v>
      </c>
      <c r="E57" s="6">
        <v>175008</v>
      </c>
      <c r="F57" s="7">
        <f t="shared" si="3"/>
        <v>2100096</v>
      </c>
      <c r="G57" s="46">
        <v>12</v>
      </c>
      <c r="H57" s="80">
        <v>0</v>
      </c>
      <c r="I57" s="46">
        <f t="shared" si="5"/>
        <v>12</v>
      </c>
      <c r="J57" s="46">
        <f t="shared" si="0"/>
        <v>2100096</v>
      </c>
      <c r="K57" s="8">
        <f t="shared" si="1"/>
        <v>0</v>
      </c>
      <c r="L57" s="60">
        <f t="shared" si="2"/>
        <v>2100096</v>
      </c>
      <c r="M57" s="82"/>
    </row>
    <row r="58" spans="1:13">
      <c r="A58" s="72">
        <v>34</v>
      </c>
      <c r="B58" s="73" t="s">
        <v>33</v>
      </c>
      <c r="C58" s="74" t="s">
        <v>249</v>
      </c>
      <c r="D58" s="75">
        <f>36049.78*12</f>
        <v>432597.36</v>
      </c>
      <c r="E58" s="84">
        <v>4</v>
      </c>
      <c r="F58" s="157">
        <f t="shared" si="3"/>
        <v>1730389.44</v>
      </c>
      <c r="G58" s="77">
        <v>200000</v>
      </c>
      <c r="H58" s="81">
        <v>124448</v>
      </c>
      <c r="I58" s="77">
        <f t="shared" si="5"/>
        <v>324448</v>
      </c>
      <c r="J58" s="77">
        <f t="shared" si="0"/>
        <v>800000</v>
      </c>
      <c r="K58" s="75">
        <f t="shared" si="1"/>
        <v>497792</v>
      </c>
      <c r="L58" s="78">
        <f t="shared" si="2"/>
        <v>1297792</v>
      </c>
    </row>
    <row r="59" spans="1:13">
      <c r="A59" s="62" t="s">
        <v>273</v>
      </c>
      <c r="B59" s="100" t="s">
        <v>154</v>
      </c>
      <c r="C59" s="101"/>
      <c r="D59" s="102"/>
      <c r="E59" s="6"/>
      <c r="F59" s="7"/>
      <c r="G59" s="46"/>
      <c r="H59" s="80">
        <v>0</v>
      </c>
      <c r="I59" s="46"/>
      <c r="J59" s="46"/>
      <c r="K59" s="8"/>
      <c r="L59" s="60"/>
    </row>
    <row r="60" spans="1:13">
      <c r="A60" s="63">
        <v>36</v>
      </c>
      <c r="B60" s="49" t="s">
        <v>34</v>
      </c>
      <c r="C60" s="11" t="s">
        <v>17</v>
      </c>
      <c r="D60" s="8">
        <v>3</v>
      </c>
      <c r="E60" s="6">
        <v>140832</v>
      </c>
      <c r="F60" s="7">
        <f t="shared" si="3"/>
        <v>422496</v>
      </c>
      <c r="G60" s="46">
        <v>0</v>
      </c>
      <c r="H60" s="80">
        <v>0</v>
      </c>
      <c r="I60" s="46">
        <f t="shared" si="5"/>
        <v>0</v>
      </c>
      <c r="J60" s="46">
        <f t="shared" si="0"/>
        <v>0</v>
      </c>
      <c r="K60" s="8">
        <f t="shared" si="1"/>
        <v>0</v>
      </c>
      <c r="L60" s="60">
        <f t="shared" si="2"/>
        <v>0</v>
      </c>
    </row>
    <row r="61" spans="1:13">
      <c r="A61" s="62" t="s">
        <v>260</v>
      </c>
      <c r="B61" s="100" t="s">
        <v>155</v>
      </c>
      <c r="C61" s="101"/>
      <c r="D61" s="102"/>
      <c r="E61" s="6"/>
      <c r="F61" s="7"/>
      <c r="G61" s="46"/>
      <c r="H61" s="80">
        <v>0</v>
      </c>
      <c r="I61" s="46"/>
      <c r="J61" s="46"/>
      <c r="K61" s="8"/>
      <c r="L61" s="60"/>
    </row>
    <row r="62" spans="1:13">
      <c r="A62" s="63">
        <v>37</v>
      </c>
      <c r="B62" s="49" t="s">
        <v>35</v>
      </c>
      <c r="C62" s="11" t="s">
        <v>17</v>
      </c>
      <c r="D62" s="8">
        <v>2</v>
      </c>
      <c r="E62" s="46">
        <v>20256</v>
      </c>
      <c r="F62" s="7">
        <f t="shared" si="3"/>
        <v>40512</v>
      </c>
      <c r="G62" s="46">
        <v>0</v>
      </c>
      <c r="H62" s="80">
        <v>0</v>
      </c>
      <c r="I62" s="46">
        <f t="shared" si="5"/>
        <v>0</v>
      </c>
      <c r="J62" s="46">
        <f>G62*E62</f>
        <v>0</v>
      </c>
      <c r="K62" s="8">
        <f>H62*E62</f>
        <v>0</v>
      </c>
      <c r="L62" s="60">
        <f>I62*E62</f>
        <v>0</v>
      </c>
    </row>
    <row r="63" spans="1:13">
      <c r="A63" s="63">
        <v>38</v>
      </c>
      <c r="B63" s="49" t="s">
        <v>36</v>
      </c>
      <c r="C63" s="11" t="s">
        <v>17</v>
      </c>
      <c r="D63" s="8">
        <v>1</v>
      </c>
      <c r="E63" s="6">
        <v>10800</v>
      </c>
      <c r="F63" s="7">
        <f t="shared" si="3"/>
        <v>10800</v>
      </c>
      <c r="G63" s="46">
        <v>0</v>
      </c>
      <c r="H63" s="80">
        <v>0</v>
      </c>
      <c r="I63" s="46">
        <f t="shared" si="5"/>
        <v>0</v>
      </c>
      <c r="J63" s="46">
        <f t="shared" si="0"/>
        <v>0</v>
      </c>
      <c r="K63" s="8">
        <f t="shared" si="1"/>
        <v>0</v>
      </c>
      <c r="L63" s="60">
        <f t="shared" si="2"/>
        <v>0</v>
      </c>
    </row>
    <row r="64" spans="1:13">
      <c r="A64" s="63">
        <v>39</v>
      </c>
      <c r="B64" s="49" t="s">
        <v>37</v>
      </c>
      <c r="C64" s="11" t="s">
        <v>17</v>
      </c>
      <c r="D64" s="8">
        <v>1</v>
      </c>
      <c r="E64" s="6">
        <v>5500</v>
      </c>
      <c r="F64" s="7">
        <f t="shared" si="3"/>
        <v>5500</v>
      </c>
      <c r="G64" s="46">
        <v>0</v>
      </c>
      <c r="H64" s="80">
        <v>0</v>
      </c>
      <c r="I64" s="46">
        <f t="shared" si="5"/>
        <v>0</v>
      </c>
      <c r="J64" s="46">
        <f t="shared" si="0"/>
        <v>0</v>
      </c>
      <c r="K64" s="8">
        <f t="shared" si="1"/>
        <v>0</v>
      </c>
      <c r="L64" s="60">
        <f t="shared" si="2"/>
        <v>0</v>
      </c>
    </row>
    <row r="65" spans="1:12">
      <c r="A65" s="63">
        <v>40</v>
      </c>
      <c r="B65" s="49" t="s">
        <v>38</v>
      </c>
      <c r="C65" s="11" t="s">
        <v>17</v>
      </c>
      <c r="D65" s="8">
        <v>1</v>
      </c>
      <c r="E65" s="6">
        <v>7920</v>
      </c>
      <c r="F65" s="7">
        <f t="shared" si="3"/>
        <v>7920</v>
      </c>
      <c r="G65" s="46">
        <v>0</v>
      </c>
      <c r="H65" s="80">
        <v>0</v>
      </c>
      <c r="I65" s="46">
        <f t="shared" si="5"/>
        <v>0</v>
      </c>
      <c r="J65" s="46">
        <f t="shared" si="0"/>
        <v>0</v>
      </c>
      <c r="K65" s="8">
        <f t="shared" si="1"/>
        <v>0</v>
      </c>
      <c r="L65" s="60">
        <f t="shared" si="2"/>
        <v>0</v>
      </c>
    </row>
    <row r="66" spans="1:12">
      <c r="A66" s="62" t="s">
        <v>274</v>
      </c>
      <c r="B66" s="100" t="s">
        <v>156</v>
      </c>
      <c r="C66" s="101"/>
      <c r="D66" s="102"/>
      <c r="E66" s="6"/>
      <c r="F66" s="7"/>
      <c r="G66" s="46"/>
      <c r="H66" s="80">
        <v>0</v>
      </c>
      <c r="I66" s="46"/>
      <c r="J66" s="46"/>
      <c r="K66" s="8"/>
      <c r="L66" s="60"/>
    </row>
    <row r="67" spans="1:12">
      <c r="A67" s="63">
        <v>41</v>
      </c>
      <c r="B67" s="49" t="s">
        <v>39</v>
      </c>
      <c r="C67" s="11" t="s">
        <v>17</v>
      </c>
      <c r="D67" s="8">
        <v>1</v>
      </c>
      <c r="E67" s="6">
        <v>12000</v>
      </c>
      <c r="F67" s="7">
        <f t="shared" si="3"/>
        <v>12000</v>
      </c>
      <c r="G67" s="46">
        <v>0.75</v>
      </c>
      <c r="H67" s="80">
        <v>0</v>
      </c>
      <c r="I67" s="46">
        <f t="shared" si="5"/>
        <v>0.75</v>
      </c>
      <c r="J67" s="46">
        <f>G67*E67</f>
        <v>9000</v>
      </c>
      <c r="K67" s="8">
        <f t="shared" si="1"/>
        <v>0</v>
      </c>
      <c r="L67" s="60">
        <f t="shared" si="2"/>
        <v>9000</v>
      </c>
    </row>
    <row r="68" spans="1:12">
      <c r="A68" s="63">
        <v>42</v>
      </c>
      <c r="B68" s="49" t="s">
        <v>40</v>
      </c>
      <c r="C68" s="11" t="s">
        <v>17</v>
      </c>
      <c r="D68" s="8">
        <v>2</v>
      </c>
      <c r="E68" s="6">
        <v>53208</v>
      </c>
      <c r="F68" s="7">
        <f t="shared" si="3"/>
        <v>106416</v>
      </c>
      <c r="G68" s="46">
        <v>0</v>
      </c>
      <c r="H68" s="80">
        <v>0</v>
      </c>
      <c r="I68" s="46">
        <f t="shared" si="5"/>
        <v>0</v>
      </c>
      <c r="J68" s="46">
        <f t="shared" si="0"/>
        <v>0</v>
      </c>
      <c r="K68" s="8">
        <f t="shared" si="1"/>
        <v>0</v>
      </c>
      <c r="L68" s="60">
        <f t="shared" si="2"/>
        <v>0</v>
      </c>
    </row>
    <row r="69" spans="1:12">
      <c r="A69" s="61">
        <v>43</v>
      </c>
      <c r="B69" s="49" t="s">
        <v>41</v>
      </c>
      <c r="C69" s="11" t="s">
        <v>17</v>
      </c>
      <c r="D69" s="8">
        <v>1</v>
      </c>
      <c r="E69" s="6">
        <v>58800</v>
      </c>
      <c r="F69" s="7">
        <f t="shared" si="3"/>
        <v>58800</v>
      </c>
      <c r="G69" s="46">
        <v>0</v>
      </c>
      <c r="H69" s="80">
        <v>0</v>
      </c>
      <c r="I69" s="46">
        <f t="shared" si="5"/>
        <v>0</v>
      </c>
      <c r="J69" s="46">
        <f t="shared" si="0"/>
        <v>0</v>
      </c>
      <c r="K69" s="8">
        <f t="shared" si="1"/>
        <v>0</v>
      </c>
      <c r="L69" s="60">
        <f t="shared" si="2"/>
        <v>0</v>
      </c>
    </row>
    <row r="70" spans="1:12">
      <c r="A70" s="62" t="s">
        <v>275</v>
      </c>
      <c r="B70" s="100" t="s">
        <v>157</v>
      </c>
      <c r="C70" s="101"/>
      <c r="D70" s="102"/>
      <c r="E70" s="6"/>
      <c r="F70" s="7"/>
      <c r="G70" s="46"/>
      <c r="H70" s="80">
        <v>0</v>
      </c>
      <c r="I70" s="46"/>
      <c r="J70" s="46"/>
      <c r="K70" s="8"/>
      <c r="L70" s="60"/>
    </row>
    <row r="71" spans="1:12">
      <c r="A71" s="61">
        <v>44</v>
      </c>
      <c r="B71" s="49" t="s">
        <v>42</v>
      </c>
      <c r="C71" s="11" t="s">
        <v>17</v>
      </c>
      <c r="D71" s="8">
        <v>2</v>
      </c>
      <c r="E71" s="6">
        <v>84984</v>
      </c>
      <c r="F71" s="7">
        <f t="shared" si="3"/>
        <v>169968</v>
      </c>
      <c r="G71" s="46">
        <v>0</v>
      </c>
      <c r="H71" s="80">
        <v>0</v>
      </c>
      <c r="I71" s="46">
        <f t="shared" si="5"/>
        <v>0</v>
      </c>
      <c r="J71" s="46">
        <f t="shared" si="0"/>
        <v>0</v>
      </c>
      <c r="K71" s="8">
        <f t="shared" si="1"/>
        <v>0</v>
      </c>
      <c r="L71" s="60">
        <f t="shared" si="2"/>
        <v>0</v>
      </c>
    </row>
    <row r="72" spans="1:12">
      <c r="A72" s="62" t="s">
        <v>276</v>
      </c>
      <c r="B72" s="100" t="s">
        <v>158</v>
      </c>
      <c r="C72" s="101"/>
      <c r="D72" s="102"/>
      <c r="E72" s="6"/>
      <c r="F72" s="7"/>
      <c r="G72" s="46"/>
      <c r="H72" s="80">
        <v>0</v>
      </c>
      <c r="I72" s="46"/>
      <c r="J72" s="46"/>
      <c r="K72" s="8"/>
      <c r="L72" s="60"/>
    </row>
    <row r="73" spans="1:12">
      <c r="A73" s="63">
        <v>45</v>
      </c>
      <c r="B73" s="49" t="s">
        <v>43</v>
      </c>
      <c r="C73" s="11" t="s">
        <v>17</v>
      </c>
      <c r="D73" s="8">
        <v>2</v>
      </c>
      <c r="E73" s="119">
        <v>17217.599999999999</v>
      </c>
      <c r="F73" s="104">
        <f>E73*D73+18.36</f>
        <v>34453.56</v>
      </c>
      <c r="G73" s="46">
        <v>0</v>
      </c>
      <c r="H73" s="80">
        <v>0</v>
      </c>
      <c r="I73" s="46">
        <f t="shared" si="5"/>
        <v>0</v>
      </c>
      <c r="J73" s="46">
        <f t="shared" ref="J73:J135" si="6">G73*E73</f>
        <v>0</v>
      </c>
      <c r="K73" s="8">
        <f t="shared" ref="K73:K135" si="7">H73*E73</f>
        <v>0</v>
      </c>
      <c r="L73" s="60">
        <f t="shared" ref="L73:L135" si="8">I73*E73</f>
        <v>0</v>
      </c>
    </row>
    <row r="74" spans="1:12">
      <c r="A74" s="62" t="s">
        <v>277</v>
      </c>
      <c r="B74" s="100" t="s">
        <v>159</v>
      </c>
      <c r="C74" s="101"/>
      <c r="D74" s="102"/>
      <c r="E74" s="6"/>
      <c r="F74" s="7"/>
      <c r="G74" s="46"/>
      <c r="H74" s="80">
        <v>0</v>
      </c>
      <c r="I74" s="46"/>
      <c r="J74" s="46"/>
      <c r="K74" s="8"/>
      <c r="L74" s="60"/>
    </row>
    <row r="75" spans="1:12" s="79" customFormat="1">
      <c r="A75" s="61">
        <v>46</v>
      </c>
      <c r="B75" s="49" t="s">
        <v>160</v>
      </c>
      <c r="C75" s="11" t="s">
        <v>17</v>
      </c>
      <c r="D75" s="8">
        <v>4</v>
      </c>
      <c r="E75" s="6">
        <v>157704</v>
      </c>
      <c r="F75" s="7">
        <f t="shared" ref="F75:F137" si="9">E75*D75</f>
        <v>630816</v>
      </c>
      <c r="G75" s="46">
        <v>2.8</v>
      </c>
      <c r="H75" s="80">
        <v>0</v>
      </c>
      <c r="I75" s="46">
        <f t="shared" si="5"/>
        <v>2.8</v>
      </c>
      <c r="J75" s="46">
        <f t="shared" si="6"/>
        <v>441571.19999999995</v>
      </c>
      <c r="K75" s="8">
        <f t="shared" si="7"/>
        <v>0</v>
      </c>
      <c r="L75" s="60">
        <f t="shared" si="8"/>
        <v>441571.19999999995</v>
      </c>
    </row>
    <row r="76" spans="1:12">
      <c r="A76" s="62" t="s">
        <v>278</v>
      </c>
      <c r="B76" s="100" t="s">
        <v>161</v>
      </c>
      <c r="C76" s="101"/>
      <c r="D76" s="102"/>
      <c r="E76" s="6"/>
      <c r="F76" s="7"/>
      <c r="G76" s="46"/>
      <c r="H76" s="80">
        <v>0</v>
      </c>
      <c r="I76" s="46"/>
      <c r="J76" s="46"/>
      <c r="K76" s="8"/>
      <c r="L76" s="60"/>
    </row>
    <row r="77" spans="1:12">
      <c r="A77" s="61">
        <v>47</v>
      </c>
      <c r="B77" s="49" t="s">
        <v>44</v>
      </c>
      <c r="C77" s="11" t="s">
        <v>17</v>
      </c>
      <c r="D77" s="8">
        <v>2</v>
      </c>
      <c r="E77" s="6">
        <v>192000</v>
      </c>
      <c r="F77" s="7">
        <f t="shared" si="9"/>
        <v>384000</v>
      </c>
      <c r="G77" s="46">
        <v>0</v>
      </c>
      <c r="H77" s="80">
        <v>0</v>
      </c>
      <c r="I77" s="46">
        <f t="shared" si="5"/>
        <v>0</v>
      </c>
      <c r="J77" s="46">
        <f t="shared" si="6"/>
        <v>0</v>
      </c>
      <c r="K77" s="8">
        <f t="shared" si="7"/>
        <v>0</v>
      </c>
      <c r="L77" s="60">
        <f t="shared" si="8"/>
        <v>0</v>
      </c>
    </row>
    <row r="78" spans="1:12">
      <c r="A78" s="63">
        <v>48</v>
      </c>
      <c r="B78" s="49" t="s">
        <v>45</v>
      </c>
      <c r="C78" s="11" t="s">
        <v>17</v>
      </c>
      <c r="D78" s="8">
        <v>1</v>
      </c>
      <c r="E78" s="6">
        <v>75000</v>
      </c>
      <c r="F78" s="7">
        <f t="shared" si="9"/>
        <v>75000</v>
      </c>
      <c r="G78" s="46">
        <v>0</v>
      </c>
      <c r="H78" s="80">
        <v>0</v>
      </c>
      <c r="I78" s="46">
        <f t="shared" si="5"/>
        <v>0</v>
      </c>
      <c r="J78" s="46">
        <f t="shared" si="6"/>
        <v>0</v>
      </c>
      <c r="K78" s="8">
        <f t="shared" si="7"/>
        <v>0</v>
      </c>
      <c r="L78" s="60">
        <f t="shared" si="8"/>
        <v>0</v>
      </c>
    </row>
    <row r="79" spans="1:12">
      <c r="A79" s="61">
        <v>49</v>
      </c>
      <c r="B79" s="49" t="s">
        <v>162</v>
      </c>
      <c r="C79" s="11" t="s">
        <v>17</v>
      </c>
      <c r="D79" s="8">
        <v>1</v>
      </c>
      <c r="E79" s="6">
        <v>42500</v>
      </c>
      <c r="F79" s="7">
        <f t="shared" si="9"/>
        <v>42500</v>
      </c>
      <c r="G79" s="46">
        <v>0</v>
      </c>
      <c r="H79" s="80">
        <v>0</v>
      </c>
      <c r="I79" s="46">
        <f t="shared" si="5"/>
        <v>0</v>
      </c>
      <c r="J79" s="46">
        <f t="shared" si="6"/>
        <v>0</v>
      </c>
      <c r="K79" s="8">
        <f t="shared" si="7"/>
        <v>0</v>
      </c>
      <c r="L79" s="60">
        <f t="shared" si="8"/>
        <v>0</v>
      </c>
    </row>
    <row r="80" spans="1:12">
      <c r="A80" s="61">
        <v>50</v>
      </c>
      <c r="B80" s="49" t="s">
        <v>46</v>
      </c>
      <c r="C80" s="11" t="s">
        <v>17</v>
      </c>
      <c r="D80" s="8">
        <v>2</v>
      </c>
      <c r="E80" s="6">
        <v>9360</v>
      </c>
      <c r="F80" s="7">
        <f t="shared" si="9"/>
        <v>18720</v>
      </c>
      <c r="G80" s="46">
        <v>0</v>
      </c>
      <c r="H80" s="80">
        <v>0</v>
      </c>
      <c r="I80" s="46">
        <f t="shared" si="5"/>
        <v>0</v>
      </c>
      <c r="J80" s="46">
        <f t="shared" si="6"/>
        <v>0</v>
      </c>
      <c r="K80" s="8">
        <f t="shared" si="7"/>
        <v>0</v>
      </c>
      <c r="L80" s="60">
        <f t="shared" si="8"/>
        <v>0</v>
      </c>
    </row>
    <row r="81" spans="1:12">
      <c r="A81" s="61">
        <v>51</v>
      </c>
      <c r="B81" s="49" t="s">
        <v>163</v>
      </c>
      <c r="C81" s="11" t="s">
        <v>48</v>
      </c>
      <c r="D81" s="8">
        <v>1</v>
      </c>
      <c r="E81" s="6">
        <v>115000</v>
      </c>
      <c r="F81" s="7">
        <f t="shared" si="9"/>
        <v>115000</v>
      </c>
      <c r="G81" s="46">
        <v>0</v>
      </c>
      <c r="H81" s="80">
        <v>0</v>
      </c>
      <c r="I81" s="46">
        <f t="shared" si="5"/>
        <v>0</v>
      </c>
      <c r="J81" s="46">
        <f t="shared" si="6"/>
        <v>0</v>
      </c>
      <c r="K81" s="8">
        <f t="shared" si="7"/>
        <v>0</v>
      </c>
      <c r="L81" s="60">
        <f t="shared" si="8"/>
        <v>0</v>
      </c>
    </row>
    <row r="82" spans="1:12">
      <c r="A82" s="62" t="s">
        <v>279</v>
      </c>
      <c r="B82" s="100" t="s">
        <v>164</v>
      </c>
      <c r="C82" s="101"/>
      <c r="D82" s="102"/>
      <c r="E82" s="6"/>
      <c r="F82" s="7"/>
      <c r="G82" s="46"/>
      <c r="H82" s="80">
        <v>0</v>
      </c>
      <c r="I82" s="46"/>
      <c r="J82" s="46"/>
      <c r="K82" s="8"/>
      <c r="L82" s="60"/>
    </row>
    <row r="83" spans="1:12">
      <c r="A83" s="63">
        <v>53</v>
      </c>
      <c r="B83" s="49" t="s">
        <v>47</v>
      </c>
      <c r="C83" s="11" t="s">
        <v>17</v>
      </c>
      <c r="D83" s="8">
        <v>2</v>
      </c>
      <c r="E83" s="6">
        <v>12888</v>
      </c>
      <c r="F83" s="7">
        <f t="shared" si="9"/>
        <v>25776</v>
      </c>
      <c r="G83" s="46">
        <v>0</v>
      </c>
      <c r="H83" s="80">
        <v>0</v>
      </c>
      <c r="I83" s="46">
        <f t="shared" si="5"/>
        <v>0</v>
      </c>
      <c r="J83" s="46">
        <f t="shared" si="6"/>
        <v>0</v>
      </c>
      <c r="K83" s="8">
        <f t="shared" si="7"/>
        <v>0</v>
      </c>
      <c r="L83" s="60">
        <f t="shared" si="8"/>
        <v>0</v>
      </c>
    </row>
    <row r="84" spans="1:12">
      <c r="A84" s="62" t="s">
        <v>280</v>
      </c>
      <c r="B84" s="100" t="s">
        <v>165</v>
      </c>
      <c r="C84" s="101"/>
      <c r="D84" s="102"/>
      <c r="E84" s="6"/>
      <c r="F84" s="7"/>
      <c r="G84" s="46"/>
      <c r="H84" s="80">
        <v>0</v>
      </c>
      <c r="I84" s="46"/>
      <c r="J84" s="46"/>
      <c r="K84" s="8"/>
      <c r="L84" s="60"/>
    </row>
    <row r="85" spans="1:12">
      <c r="A85" s="63">
        <v>54</v>
      </c>
      <c r="B85" s="50" t="s">
        <v>166</v>
      </c>
      <c r="C85" s="11" t="s">
        <v>17</v>
      </c>
      <c r="D85" s="8">
        <v>2</v>
      </c>
      <c r="E85" s="6">
        <v>5500</v>
      </c>
      <c r="F85" s="7">
        <f t="shared" si="9"/>
        <v>11000</v>
      </c>
      <c r="G85" s="46">
        <v>0</v>
      </c>
      <c r="H85" s="80">
        <v>0</v>
      </c>
      <c r="I85" s="46">
        <f t="shared" si="5"/>
        <v>0</v>
      </c>
      <c r="J85" s="46">
        <f t="shared" si="6"/>
        <v>0</v>
      </c>
      <c r="K85" s="8">
        <f t="shared" si="7"/>
        <v>0</v>
      </c>
      <c r="L85" s="60">
        <f t="shared" si="8"/>
        <v>0</v>
      </c>
    </row>
    <row r="86" spans="1:12">
      <c r="A86" s="63">
        <v>55</v>
      </c>
      <c r="B86" s="51" t="s">
        <v>167</v>
      </c>
      <c r="C86" s="11" t="s">
        <v>17</v>
      </c>
      <c r="D86" s="8">
        <v>2</v>
      </c>
      <c r="E86" s="6">
        <v>5500</v>
      </c>
      <c r="F86" s="7">
        <f t="shared" si="9"/>
        <v>11000</v>
      </c>
      <c r="G86" s="46">
        <v>0</v>
      </c>
      <c r="H86" s="80">
        <v>0</v>
      </c>
      <c r="I86" s="46">
        <f t="shared" si="5"/>
        <v>0</v>
      </c>
      <c r="J86" s="46">
        <f t="shared" si="6"/>
        <v>0</v>
      </c>
      <c r="K86" s="8">
        <f t="shared" si="7"/>
        <v>0</v>
      </c>
      <c r="L86" s="60">
        <f t="shared" si="8"/>
        <v>0</v>
      </c>
    </row>
    <row r="87" spans="1:12">
      <c r="A87" s="63">
        <v>56</v>
      </c>
      <c r="B87" s="51" t="s">
        <v>168</v>
      </c>
      <c r="C87" s="11" t="s">
        <v>17</v>
      </c>
      <c r="D87" s="8">
        <v>2</v>
      </c>
      <c r="E87" s="6">
        <v>47760</v>
      </c>
      <c r="F87" s="7">
        <f t="shared" si="9"/>
        <v>95520</v>
      </c>
      <c r="G87" s="46">
        <v>0</v>
      </c>
      <c r="H87" s="80">
        <v>0</v>
      </c>
      <c r="I87" s="46">
        <f t="shared" si="5"/>
        <v>0</v>
      </c>
      <c r="J87" s="46">
        <f t="shared" si="6"/>
        <v>0</v>
      </c>
      <c r="K87" s="8">
        <f t="shared" si="7"/>
        <v>0</v>
      </c>
      <c r="L87" s="60">
        <f t="shared" si="8"/>
        <v>0</v>
      </c>
    </row>
    <row r="88" spans="1:12">
      <c r="A88" s="62" t="s">
        <v>281</v>
      </c>
      <c r="B88" s="100" t="s">
        <v>169</v>
      </c>
      <c r="C88" s="101"/>
      <c r="D88" s="102"/>
      <c r="E88" s="6"/>
      <c r="F88" s="7"/>
      <c r="G88" s="46"/>
      <c r="H88" s="80">
        <v>0</v>
      </c>
      <c r="I88" s="46"/>
      <c r="J88" s="46"/>
      <c r="K88" s="8"/>
      <c r="L88" s="60"/>
    </row>
    <row r="89" spans="1:12">
      <c r="A89" s="63">
        <v>57</v>
      </c>
      <c r="B89" s="52" t="s">
        <v>170</v>
      </c>
      <c r="C89" s="11" t="s">
        <v>17</v>
      </c>
      <c r="D89" s="8">
        <v>2</v>
      </c>
      <c r="E89" s="6">
        <v>7200</v>
      </c>
      <c r="F89" s="7">
        <f t="shared" si="9"/>
        <v>14400</v>
      </c>
      <c r="G89" s="46">
        <v>0</v>
      </c>
      <c r="H89" s="80">
        <v>0</v>
      </c>
      <c r="I89" s="46">
        <f t="shared" si="5"/>
        <v>0</v>
      </c>
      <c r="J89" s="46">
        <f t="shared" si="6"/>
        <v>0</v>
      </c>
      <c r="K89" s="8">
        <f t="shared" si="7"/>
        <v>0</v>
      </c>
      <c r="L89" s="60">
        <f t="shared" si="8"/>
        <v>0</v>
      </c>
    </row>
    <row r="90" spans="1:12">
      <c r="A90" s="63">
        <v>58</v>
      </c>
      <c r="B90" s="52" t="s">
        <v>171</v>
      </c>
      <c r="C90" s="11" t="s">
        <v>17</v>
      </c>
      <c r="D90" s="8">
        <v>3</v>
      </c>
      <c r="E90" s="6">
        <v>5448</v>
      </c>
      <c r="F90" s="7">
        <f t="shared" si="9"/>
        <v>16344</v>
      </c>
      <c r="G90" s="46">
        <v>0</v>
      </c>
      <c r="H90" s="80">
        <v>0</v>
      </c>
      <c r="I90" s="46">
        <f t="shared" si="5"/>
        <v>0</v>
      </c>
      <c r="J90" s="46">
        <f t="shared" si="6"/>
        <v>0</v>
      </c>
      <c r="K90" s="8">
        <f t="shared" si="7"/>
        <v>0</v>
      </c>
      <c r="L90" s="60">
        <f t="shared" si="8"/>
        <v>0</v>
      </c>
    </row>
    <row r="91" spans="1:12">
      <c r="A91" s="63">
        <v>59</v>
      </c>
      <c r="B91" s="52" t="s">
        <v>172</v>
      </c>
      <c r="C91" s="11" t="s">
        <v>17</v>
      </c>
      <c r="D91" s="8">
        <v>4</v>
      </c>
      <c r="E91" s="6">
        <v>3120</v>
      </c>
      <c r="F91" s="7">
        <f t="shared" si="9"/>
        <v>12480</v>
      </c>
      <c r="G91" s="46">
        <v>0</v>
      </c>
      <c r="H91" s="80">
        <v>0</v>
      </c>
      <c r="I91" s="46">
        <f t="shared" si="5"/>
        <v>0</v>
      </c>
      <c r="J91" s="46">
        <f t="shared" si="6"/>
        <v>0</v>
      </c>
      <c r="K91" s="8">
        <f t="shared" si="7"/>
        <v>0</v>
      </c>
      <c r="L91" s="60">
        <f t="shared" si="8"/>
        <v>0</v>
      </c>
    </row>
    <row r="92" spans="1:12">
      <c r="A92" s="62" t="s">
        <v>282</v>
      </c>
      <c r="B92" s="100" t="s">
        <v>173</v>
      </c>
      <c r="C92" s="101"/>
      <c r="D92" s="102"/>
      <c r="E92" s="6"/>
      <c r="F92" s="7"/>
      <c r="G92" s="46"/>
      <c r="H92" s="80">
        <v>0</v>
      </c>
      <c r="I92" s="46"/>
      <c r="J92" s="46"/>
      <c r="K92" s="8"/>
      <c r="L92" s="60"/>
    </row>
    <row r="93" spans="1:12">
      <c r="A93" s="63">
        <v>60</v>
      </c>
      <c r="B93" s="52" t="s">
        <v>174</v>
      </c>
      <c r="C93" s="11" t="s">
        <v>17</v>
      </c>
      <c r="D93" s="8">
        <v>2</v>
      </c>
      <c r="E93" s="6">
        <v>7200</v>
      </c>
      <c r="F93" s="7">
        <f t="shared" si="9"/>
        <v>14400</v>
      </c>
      <c r="G93" s="46">
        <v>0</v>
      </c>
      <c r="H93" s="80">
        <v>0</v>
      </c>
      <c r="I93" s="46">
        <f t="shared" si="5"/>
        <v>0</v>
      </c>
      <c r="J93" s="46">
        <f t="shared" si="6"/>
        <v>0</v>
      </c>
      <c r="K93" s="8">
        <f t="shared" si="7"/>
        <v>0</v>
      </c>
      <c r="L93" s="60">
        <f t="shared" si="8"/>
        <v>0</v>
      </c>
    </row>
    <row r="94" spans="1:12">
      <c r="A94" s="63">
        <v>61</v>
      </c>
      <c r="B94" s="52" t="s">
        <v>175</v>
      </c>
      <c r="C94" s="11" t="s">
        <v>17</v>
      </c>
      <c r="D94" s="8">
        <v>2</v>
      </c>
      <c r="E94" s="6">
        <v>5448</v>
      </c>
      <c r="F94" s="7">
        <f t="shared" si="9"/>
        <v>10896</v>
      </c>
      <c r="G94" s="46">
        <v>0</v>
      </c>
      <c r="H94" s="80">
        <v>0</v>
      </c>
      <c r="I94" s="46">
        <f t="shared" si="5"/>
        <v>0</v>
      </c>
      <c r="J94" s="46">
        <f t="shared" si="6"/>
        <v>0</v>
      </c>
      <c r="K94" s="8">
        <f t="shared" si="7"/>
        <v>0</v>
      </c>
      <c r="L94" s="60">
        <f t="shared" si="8"/>
        <v>0</v>
      </c>
    </row>
    <row r="95" spans="1:12">
      <c r="A95" s="63">
        <v>62</v>
      </c>
      <c r="B95" s="52" t="s">
        <v>82</v>
      </c>
      <c r="C95" s="11" t="s">
        <v>17</v>
      </c>
      <c r="D95" s="8">
        <v>1</v>
      </c>
      <c r="E95" s="6">
        <v>1000</v>
      </c>
      <c r="F95" s="7">
        <f t="shared" si="9"/>
        <v>1000</v>
      </c>
      <c r="G95" s="46">
        <v>0</v>
      </c>
      <c r="H95" s="80">
        <v>0</v>
      </c>
      <c r="I95" s="46">
        <f t="shared" si="5"/>
        <v>0</v>
      </c>
      <c r="J95" s="46">
        <f t="shared" si="6"/>
        <v>0</v>
      </c>
      <c r="K95" s="8">
        <f t="shared" si="7"/>
        <v>0</v>
      </c>
      <c r="L95" s="60">
        <f t="shared" si="8"/>
        <v>0</v>
      </c>
    </row>
    <row r="96" spans="1:12">
      <c r="A96" s="62" t="s">
        <v>283</v>
      </c>
      <c r="B96" s="100" t="s">
        <v>176</v>
      </c>
      <c r="C96" s="101"/>
      <c r="D96" s="102"/>
      <c r="E96" s="6"/>
      <c r="F96" s="7"/>
      <c r="G96" s="46"/>
      <c r="H96" s="80">
        <v>0</v>
      </c>
      <c r="I96" s="46"/>
      <c r="J96" s="46"/>
      <c r="K96" s="8"/>
      <c r="L96" s="60"/>
    </row>
    <row r="97" spans="1:12">
      <c r="A97" s="63">
        <v>63</v>
      </c>
      <c r="B97" s="49" t="s">
        <v>49</v>
      </c>
      <c r="C97" s="11" t="s">
        <v>17</v>
      </c>
      <c r="D97" s="8">
        <v>2</v>
      </c>
      <c r="E97" s="6">
        <v>22944</v>
      </c>
      <c r="F97" s="7">
        <f t="shared" si="9"/>
        <v>45888</v>
      </c>
      <c r="G97" s="46">
        <v>0</v>
      </c>
      <c r="H97" s="80">
        <v>0</v>
      </c>
      <c r="I97" s="46">
        <f t="shared" si="5"/>
        <v>0</v>
      </c>
      <c r="J97" s="46">
        <f t="shared" si="6"/>
        <v>0</v>
      </c>
      <c r="K97" s="8">
        <f t="shared" si="7"/>
        <v>0</v>
      </c>
      <c r="L97" s="60">
        <f t="shared" si="8"/>
        <v>0</v>
      </c>
    </row>
    <row r="98" spans="1:12">
      <c r="A98" s="63">
        <v>64</v>
      </c>
      <c r="B98" s="49" t="s">
        <v>50</v>
      </c>
      <c r="C98" s="11" t="s">
        <v>17</v>
      </c>
      <c r="D98" s="8">
        <v>2</v>
      </c>
      <c r="E98" s="6">
        <v>6888</v>
      </c>
      <c r="F98" s="7">
        <f t="shared" si="9"/>
        <v>13776</v>
      </c>
      <c r="G98" s="46">
        <v>0</v>
      </c>
      <c r="H98" s="80">
        <v>0</v>
      </c>
      <c r="I98" s="46">
        <f t="shared" si="5"/>
        <v>0</v>
      </c>
      <c r="J98" s="46">
        <f t="shared" si="6"/>
        <v>0</v>
      </c>
      <c r="K98" s="8">
        <f t="shared" si="7"/>
        <v>0</v>
      </c>
      <c r="L98" s="60">
        <f t="shared" si="8"/>
        <v>0</v>
      </c>
    </row>
    <row r="99" spans="1:12">
      <c r="A99" s="63">
        <v>65</v>
      </c>
      <c r="B99" s="49" t="s">
        <v>51</v>
      </c>
      <c r="C99" s="11" t="s">
        <v>17</v>
      </c>
      <c r="D99" s="8">
        <v>3</v>
      </c>
      <c r="E99" s="6">
        <v>13500</v>
      </c>
      <c r="F99" s="7">
        <f t="shared" si="9"/>
        <v>40500</v>
      </c>
      <c r="G99" s="46">
        <v>0</v>
      </c>
      <c r="H99" s="80">
        <v>0</v>
      </c>
      <c r="I99" s="46">
        <f t="shared" si="5"/>
        <v>0</v>
      </c>
      <c r="J99" s="46">
        <f t="shared" si="6"/>
        <v>0</v>
      </c>
      <c r="K99" s="8">
        <f t="shared" si="7"/>
        <v>0</v>
      </c>
      <c r="L99" s="60">
        <f t="shared" si="8"/>
        <v>0</v>
      </c>
    </row>
    <row r="100" spans="1:12">
      <c r="A100" s="63">
        <v>66</v>
      </c>
      <c r="B100" s="49" t="s">
        <v>177</v>
      </c>
      <c r="C100" s="11" t="s">
        <v>17</v>
      </c>
      <c r="D100" s="8">
        <v>2</v>
      </c>
      <c r="E100" s="6">
        <v>7680</v>
      </c>
      <c r="F100" s="7">
        <f t="shared" si="9"/>
        <v>15360</v>
      </c>
      <c r="G100" s="46">
        <v>0</v>
      </c>
      <c r="H100" s="80">
        <v>0</v>
      </c>
      <c r="I100" s="46">
        <f t="shared" si="5"/>
        <v>0</v>
      </c>
      <c r="J100" s="46">
        <f t="shared" si="6"/>
        <v>0</v>
      </c>
      <c r="K100" s="8">
        <f t="shared" si="7"/>
        <v>0</v>
      </c>
      <c r="L100" s="60">
        <f t="shared" si="8"/>
        <v>0</v>
      </c>
    </row>
    <row r="101" spans="1:12">
      <c r="A101" s="63">
        <v>67</v>
      </c>
      <c r="B101" s="49" t="s">
        <v>52</v>
      </c>
      <c r="C101" s="11" t="s">
        <v>17</v>
      </c>
      <c r="D101" s="8">
        <v>1</v>
      </c>
      <c r="E101" s="6">
        <v>70800</v>
      </c>
      <c r="F101" s="7">
        <f t="shared" si="9"/>
        <v>70800</v>
      </c>
      <c r="G101" s="46">
        <v>0</v>
      </c>
      <c r="H101" s="80">
        <v>0</v>
      </c>
      <c r="I101" s="46">
        <f t="shared" si="5"/>
        <v>0</v>
      </c>
      <c r="J101" s="46">
        <f t="shared" si="6"/>
        <v>0</v>
      </c>
      <c r="K101" s="8">
        <f t="shared" si="7"/>
        <v>0</v>
      </c>
      <c r="L101" s="60">
        <f t="shared" si="8"/>
        <v>0</v>
      </c>
    </row>
    <row r="102" spans="1:12">
      <c r="A102" s="62" t="s">
        <v>284</v>
      </c>
      <c r="B102" s="100" t="s">
        <v>178</v>
      </c>
      <c r="C102" s="101"/>
      <c r="D102" s="102"/>
      <c r="E102" s="6"/>
      <c r="F102" s="7"/>
      <c r="G102" s="46"/>
      <c r="H102" s="80">
        <v>0</v>
      </c>
      <c r="I102" s="46"/>
      <c r="J102" s="46"/>
      <c r="K102" s="8"/>
      <c r="L102" s="60"/>
    </row>
    <row r="103" spans="1:12" ht="54" customHeight="1">
      <c r="A103" s="63">
        <v>68</v>
      </c>
      <c r="B103" s="51" t="s">
        <v>53</v>
      </c>
      <c r="C103" s="11"/>
      <c r="D103" s="8"/>
      <c r="E103" s="6"/>
      <c r="F103" s="7"/>
      <c r="G103" s="46"/>
      <c r="H103" s="80">
        <v>0</v>
      </c>
      <c r="I103" s="46"/>
      <c r="J103" s="46"/>
      <c r="K103" s="8"/>
      <c r="L103" s="60"/>
    </row>
    <row r="104" spans="1:12">
      <c r="A104" s="63">
        <v>69</v>
      </c>
      <c r="B104" s="49" t="s">
        <v>179</v>
      </c>
      <c r="C104" s="11" t="s">
        <v>54</v>
      </c>
      <c r="D104" s="8">
        <v>11</v>
      </c>
      <c r="E104" s="6">
        <v>1500</v>
      </c>
      <c r="F104" s="7">
        <f t="shared" si="9"/>
        <v>16500</v>
      </c>
      <c r="G104" s="46">
        <v>0</v>
      </c>
      <c r="H104" s="80">
        <v>0</v>
      </c>
      <c r="I104" s="46">
        <f t="shared" si="5"/>
        <v>0</v>
      </c>
      <c r="J104" s="46">
        <f t="shared" si="6"/>
        <v>0</v>
      </c>
      <c r="K104" s="8">
        <f t="shared" si="7"/>
        <v>0</v>
      </c>
      <c r="L104" s="60">
        <f t="shared" si="8"/>
        <v>0</v>
      </c>
    </row>
    <row r="105" spans="1:12">
      <c r="A105" s="63">
        <v>70</v>
      </c>
      <c r="B105" s="49" t="s">
        <v>180</v>
      </c>
      <c r="C105" s="11" t="s">
        <v>54</v>
      </c>
      <c r="D105" s="8">
        <v>1</v>
      </c>
      <c r="E105" s="6">
        <v>9840</v>
      </c>
      <c r="F105" s="7">
        <f t="shared" si="9"/>
        <v>9840</v>
      </c>
      <c r="G105" s="46">
        <v>0</v>
      </c>
      <c r="H105" s="80">
        <v>0</v>
      </c>
      <c r="I105" s="46">
        <f t="shared" si="5"/>
        <v>0</v>
      </c>
      <c r="J105" s="46">
        <f t="shared" si="6"/>
        <v>0</v>
      </c>
      <c r="K105" s="8">
        <f t="shared" si="7"/>
        <v>0</v>
      </c>
      <c r="L105" s="60">
        <f t="shared" si="8"/>
        <v>0</v>
      </c>
    </row>
    <row r="106" spans="1:12">
      <c r="A106" s="63">
        <v>71</v>
      </c>
      <c r="B106" s="49" t="s">
        <v>181</v>
      </c>
      <c r="C106" s="11" t="s">
        <v>54</v>
      </c>
      <c r="D106" s="8">
        <v>1</v>
      </c>
      <c r="E106" s="6">
        <v>11520</v>
      </c>
      <c r="F106" s="7">
        <f t="shared" si="9"/>
        <v>11520</v>
      </c>
      <c r="G106" s="46">
        <v>0</v>
      </c>
      <c r="H106" s="80">
        <v>0</v>
      </c>
      <c r="I106" s="46">
        <f t="shared" si="5"/>
        <v>0</v>
      </c>
      <c r="J106" s="46">
        <f t="shared" si="6"/>
        <v>0</v>
      </c>
      <c r="K106" s="8">
        <f t="shared" si="7"/>
        <v>0</v>
      </c>
      <c r="L106" s="60">
        <f t="shared" si="8"/>
        <v>0</v>
      </c>
    </row>
    <row r="107" spans="1:12">
      <c r="A107" s="63">
        <v>72</v>
      </c>
      <c r="B107" s="49" t="s">
        <v>182</v>
      </c>
      <c r="C107" s="11" t="s">
        <v>54</v>
      </c>
      <c r="D107" s="8">
        <v>1</v>
      </c>
      <c r="E107" s="6">
        <v>11520</v>
      </c>
      <c r="F107" s="7">
        <f t="shared" si="9"/>
        <v>11520</v>
      </c>
      <c r="G107" s="46">
        <v>0</v>
      </c>
      <c r="H107" s="80">
        <v>0</v>
      </c>
      <c r="I107" s="46">
        <f t="shared" si="5"/>
        <v>0</v>
      </c>
      <c r="J107" s="46">
        <f t="shared" si="6"/>
        <v>0</v>
      </c>
      <c r="K107" s="8">
        <f t="shared" si="7"/>
        <v>0</v>
      </c>
      <c r="L107" s="60">
        <f t="shared" si="8"/>
        <v>0</v>
      </c>
    </row>
    <row r="108" spans="1:12">
      <c r="A108" s="63">
        <v>73</v>
      </c>
      <c r="B108" s="49" t="s">
        <v>183</v>
      </c>
      <c r="C108" s="11" t="s">
        <v>54</v>
      </c>
      <c r="D108" s="8">
        <v>1</v>
      </c>
      <c r="E108" s="6">
        <v>4800</v>
      </c>
      <c r="F108" s="7">
        <f t="shared" si="9"/>
        <v>4800</v>
      </c>
      <c r="G108" s="46">
        <v>0</v>
      </c>
      <c r="H108" s="80">
        <v>0</v>
      </c>
      <c r="I108" s="46">
        <f t="shared" si="5"/>
        <v>0</v>
      </c>
      <c r="J108" s="46">
        <f t="shared" si="6"/>
        <v>0</v>
      </c>
      <c r="K108" s="8">
        <f t="shared" si="7"/>
        <v>0</v>
      </c>
      <c r="L108" s="60">
        <f t="shared" si="8"/>
        <v>0</v>
      </c>
    </row>
    <row r="109" spans="1:12">
      <c r="A109" s="63">
        <v>74</v>
      </c>
      <c r="B109" s="49" t="s">
        <v>184</v>
      </c>
      <c r="C109" s="11" t="s">
        <v>54</v>
      </c>
      <c r="D109" s="8">
        <v>1</v>
      </c>
      <c r="E109" s="6">
        <v>4800</v>
      </c>
      <c r="F109" s="7">
        <f t="shared" si="9"/>
        <v>4800</v>
      </c>
      <c r="G109" s="46">
        <v>0</v>
      </c>
      <c r="H109" s="80">
        <v>0</v>
      </c>
      <c r="I109" s="46">
        <f t="shared" si="5"/>
        <v>0</v>
      </c>
      <c r="J109" s="46">
        <f t="shared" si="6"/>
        <v>0</v>
      </c>
      <c r="K109" s="8">
        <f t="shared" si="7"/>
        <v>0</v>
      </c>
      <c r="L109" s="60">
        <f t="shared" si="8"/>
        <v>0</v>
      </c>
    </row>
    <row r="110" spans="1:12">
      <c r="A110" s="63">
        <v>75</v>
      </c>
      <c r="B110" s="49" t="s">
        <v>185</v>
      </c>
      <c r="C110" s="11" t="s">
        <v>54</v>
      </c>
      <c r="D110" s="8">
        <v>1</v>
      </c>
      <c r="E110" s="6">
        <v>4800</v>
      </c>
      <c r="F110" s="7">
        <f t="shared" si="9"/>
        <v>4800</v>
      </c>
      <c r="G110" s="46">
        <v>0</v>
      </c>
      <c r="H110" s="80">
        <v>0</v>
      </c>
      <c r="I110" s="46">
        <f t="shared" si="5"/>
        <v>0</v>
      </c>
      <c r="J110" s="46">
        <f t="shared" si="6"/>
        <v>0</v>
      </c>
      <c r="K110" s="8">
        <f t="shared" si="7"/>
        <v>0</v>
      </c>
      <c r="L110" s="60">
        <f t="shared" si="8"/>
        <v>0</v>
      </c>
    </row>
    <row r="111" spans="1:12">
      <c r="A111" s="63">
        <v>76</v>
      </c>
      <c r="B111" s="49" t="s">
        <v>186</v>
      </c>
      <c r="C111" s="11" t="s">
        <v>54</v>
      </c>
      <c r="D111" s="8">
        <v>3</v>
      </c>
      <c r="E111" s="6">
        <v>1680</v>
      </c>
      <c r="F111" s="7">
        <f t="shared" si="9"/>
        <v>5040</v>
      </c>
      <c r="G111" s="46">
        <v>0</v>
      </c>
      <c r="H111" s="80">
        <v>0</v>
      </c>
      <c r="I111" s="46">
        <f t="shared" si="5"/>
        <v>0</v>
      </c>
      <c r="J111" s="46">
        <f t="shared" si="6"/>
        <v>0</v>
      </c>
      <c r="K111" s="8">
        <f>H111*E111</f>
        <v>0</v>
      </c>
      <c r="L111" s="60">
        <f t="shared" si="8"/>
        <v>0</v>
      </c>
    </row>
    <row r="112" spans="1:12">
      <c r="A112" s="63">
        <v>77</v>
      </c>
      <c r="B112" s="49" t="s">
        <v>187</v>
      </c>
      <c r="C112" s="11" t="s">
        <v>54</v>
      </c>
      <c r="D112" s="8">
        <v>1</v>
      </c>
      <c r="E112" s="6">
        <v>48000</v>
      </c>
      <c r="F112" s="7">
        <f t="shared" si="9"/>
        <v>48000</v>
      </c>
      <c r="G112" s="46">
        <v>0</v>
      </c>
      <c r="H112" s="80">
        <v>0</v>
      </c>
      <c r="I112" s="46">
        <f t="shared" si="5"/>
        <v>0</v>
      </c>
      <c r="J112" s="46">
        <f t="shared" si="6"/>
        <v>0</v>
      </c>
      <c r="K112" s="8">
        <f t="shared" si="7"/>
        <v>0</v>
      </c>
      <c r="L112" s="60">
        <f t="shared" si="8"/>
        <v>0</v>
      </c>
    </row>
    <row r="113" spans="1:12">
      <c r="A113" s="63">
        <v>78</v>
      </c>
      <c r="B113" s="49" t="s">
        <v>188</v>
      </c>
      <c r="C113" s="11" t="s">
        <v>17</v>
      </c>
      <c r="D113" s="8">
        <v>1</v>
      </c>
      <c r="E113" s="6">
        <v>6000</v>
      </c>
      <c r="F113" s="7">
        <f t="shared" si="9"/>
        <v>6000</v>
      </c>
      <c r="G113" s="46">
        <v>0</v>
      </c>
      <c r="H113" s="80">
        <v>0</v>
      </c>
      <c r="I113" s="46">
        <f t="shared" si="5"/>
        <v>0</v>
      </c>
      <c r="J113" s="46">
        <f t="shared" si="6"/>
        <v>0</v>
      </c>
      <c r="K113" s="8">
        <f t="shared" si="7"/>
        <v>0</v>
      </c>
      <c r="L113" s="60">
        <f t="shared" si="8"/>
        <v>0</v>
      </c>
    </row>
    <row r="114" spans="1:12">
      <c r="A114" s="63">
        <v>79</v>
      </c>
      <c r="B114" s="49" t="s">
        <v>189</v>
      </c>
      <c r="C114" s="11" t="s">
        <v>54</v>
      </c>
      <c r="D114" s="8">
        <v>1</v>
      </c>
      <c r="E114" s="6">
        <v>2880</v>
      </c>
      <c r="F114" s="7">
        <f t="shared" si="9"/>
        <v>2880</v>
      </c>
      <c r="G114" s="46">
        <v>0</v>
      </c>
      <c r="H114" s="80">
        <v>0</v>
      </c>
      <c r="I114" s="46">
        <f t="shared" si="5"/>
        <v>0</v>
      </c>
      <c r="J114" s="46">
        <f t="shared" si="6"/>
        <v>0</v>
      </c>
      <c r="K114" s="8">
        <f t="shared" si="7"/>
        <v>0</v>
      </c>
      <c r="L114" s="60">
        <f t="shared" si="8"/>
        <v>0</v>
      </c>
    </row>
    <row r="115" spans="1:12">
      <c r="A115" s="63">
        <v>80</v>
      </c>
      <c r="B115" s="49" t="s">
        <v>190</v>
      </c>
      <c r="C115" s="11" t="s">
        <v>17</v>
      </c>
      <c r="D115" s="8">
        <v>1</v>
      </c>
      <c r="E115" s="6">
        <v>4800</v>
      </c>
      <c r="F115" s="7">
        <f t="shared" si="9"/>
        <v>4800</v>
      </c>
      <c r="G115" s="46">
        <v>0</v>
      </c>
      <c r="H115" s="80">
        <v>0</v>
      </c>
      <c r="I115" s="46">
        <f t="shared" si="5"/>
        <v>0</v>
      </c>
      <c r="J115" s="46">
        <f t="shared" si="6"/>
        <v>0</v>
      </c>
      <c r="K115" s="8">
        <f t="shared" si="7"/>
        <v>0</v>
      </c>
      <c r="L115" s="60">
        <f t="shared" si="8"/>
        <v>0</v>
      </c>
    </row>
    <row r="116" spans="1:12">
      <c r="A116" s="63">
        <v>81</v>
      </c>
      <c r="B116" s="49" t="s">
        <v>55</v>
      </c>
      <c r="C116" s="11" t="s">
        <v>17</v>
      </c>
      <c r="D116" s="8">
        <v>1</v>
      </c>
      <c r="E116" s="6">
        <v>24480</v>
      </c>
      <c r="F116" s="7">
        <f t="shared" si="9"/>
        <v>24480</v>
      </c>
      <c r="G116" s="46">
        <v>0</v>
      </c>
      <c r="H116" s="80">
        <v>0</v>
      </c>
      <c r="I116" s="46">
        <f t="shared" si="5"/>
        <v>0</v>
      </c>
      <c r="J116" s="46">
        <f t="shared" si="6"/>
        <v>0</v>
      </c>
      <c r="K116" s="8">
        <f t="shared" si="7"/>
        <v>0</v>
      </c>
      <c r="L116" s="60">
        <f t="shared" si="8"/>
        <v>0</v>
      </c>
    </row>
    <row r="117" spans="1:12">
      <c r="A117" s="63">
        <v>82</v>
      </c>
      <c r="B117" s="49" t="s">
        <v>50</v>
      </c>
      <c r="C117" s="11" t="s">
        <v>17</v>
      </c>
      <c r="D117" s="8">
        <v>1</v>
      </c>
      <c r="E117" s="6">
        <v>9600</v>
      </c>
      <c r="F117" s="7">
        <f t="shared" si="9"/>
        <v>9600</v>
      </c>
      <c r="G117" s="46">
        <v>0</v>
      </c>
      <c r="H117" s="80">
        <v>0</v>
      </c>
      <c r="I117" s="46">
        <f t="shared" si="5"/>
        <v>0</v>
      </c>
      <c r="J117" s="46">
        <f t="shared" si="6"/>
        <v>0</v>
      </c>
      <c r="K117" s="8">
        <f t="shared" si="7"/>
        <v>0</v>
      </c>
      <c r="L117" s="60">
        <f t="shared" si="8"/>
        <v>0</v>
      </c>
    </row>
    <row r="118" spans="1:12">
      <c r="A118" s="63">
        <v>83</v>
      </c>
      <c r="B118" s="49" t="s">
        <v>56</v>
      </c>
      <c r="C118" s="11" t="s">
        <v>17</v>
      </c>
      <c r="D118" s="8">
        <v>1</v>
      </c>
      <c r="E118" s="6">
        <v>9840</v>
      </c>
      <c r="F118" s="7">
        <f t="shared" si="9"/>
        <v>9840</v>
      </c>
      <c r="G118" s="46">
        <v>0</v>
      </c>
      <c r="H118" s="80">
        <v>0</v>
      </c>
      <c r="I118" s="46">
        <f t="shared" ref="I118:I178" si="10">G118+H118</f>
        <v>0</v>
      </c>
      <c r="J118" s="46">
        <f t="shared" si="6"/>
        <v>0</v>
      </c>
      <c r="K118" s="8">
        <f t="shared" si="7"/>
        <v>0</v>
      </c>
      <c r="L118" s="60">
        <f t="shared" si="8"/>
        <v>0</v>
      </c>
    </row>
    <row r="119" spans="1:12">
      <c r="A119" s="63">
        <v>84</v>
      </c>
      <c r="B119" s="49" t="s">
        <v>191</v>
      </c>
      <c r="C119" s="11" t="s">
        <v>89</v>
      </c>
      <c r="D119" s="8">
        <v>2</v>
      </c>
      <c r="E119" s="6">
        <v>75000</v>
      </c>
      <c r="F119" s="7">
        <f t="shared" si="9"/>
        <v>150000</v>
      </c>
      <c r="G119" s="46">
        <v>0</v>
      </c>
      <c r="H119" s="80">
        <v>0</v>
      </c>
      <c r="I119" s="46">
        <f t="shared" si="10"/>
        <v>0</v>
      </c>
      <c r="J119" s="46">
        <f t="shared" si="6"/>
        <v>0</v>
      </c>
      <c r="K119" s="8">
        <f t="shared" si="7"/>
        <v>0</v>
      </c>
      <c r="L119" s="60">
        <f t="shared" si="8"/>
        <v>0</v>
      </c>
    </row>
    <row r="120" spans="1:12">
      <c r="A120" s="63">
        <v>85</v>
      </c>
      <c r="B120" s="49" t="s">
        <v>192</v>
      </c>
      <c r="C120" s="11" t="s">
        <v>48</v>
      </c>
      <c r="D120" s="8">
        <v>1</v>
      </c>
      <c r="E120" s="6">
        <v>145000</v>
      </c>
      <c r="F120" s="7">
        <f t="shared" si="9"/>
        <v>145000</v>
      </c>
      <c r="G120" s="46">
        <v>0</v>
      </c>
      <c r="H120" s="80">
        <v>0</v>
      </c>
      <c r="I120" s="46">
        <f t="shared" si="10"/>
        <v>0</v>
      </c>
      <c r="J120" s="46">
        <f t="shared" si="6"/>
        <v>0</v>
      </c>
      <c r="K120" s="8">
        <f t="shared" si="7"/>
        <v>0</v>
      </c>
      <c r="L120" s="60">
        <f t="shared" si="8"/>
        <v>0</v>
      </c>
    </row>
    <row r="121" spans="1:12">
      <c r="A121" s="62" t="s">
        <v>285</v>
      </c>
      <c r="B121" s="100" t="s">
        <v>193</v>
      </c>
      <c r="C121" s="101"/>
      <c r="D121" s="102"/>
      <c r="E121" s="6"/>
      <c r="F121" s="7"/>
      <c r="G121" s="46"/>
      <c r="H121" s="80">
        <v>0</v>
      </c>
      <c r="I121" s="46"/>
      <c r="J121" s="46"/>
      <c r="K121" s="8"/>
      <c r="L121" s="60"/>
    </row>
    <row r="122" spans="1:12" s="79" customFormat="1">
      <c r="A122" s="63">
        <v>86</v>
      </c>
      <c r="B122" s="49" t="s">
        <v>57</v>
      </c>
      <c r="C122" s="11" t="s">
        <v>17</v>
      </c>
      <c r="D122" s="8">
        <v>2</v>
      </c>
      <c r="E122" s="6">
        <v>93600</v>
      </c>
      <c r="F122" s="7">
        <f t="shared" si="9"/>
        <v>187200</v>
      </c>
      <c r="G122" s="46">
        <v>2</v>
      </c>
      <c r="H122" s="80">
        <v>0</v>
      </c>
      <c r="I122" s="46">
        <f t="shared" si="10"/>
        <v>2</v>
      </c>
      <c r="J122" s="46">
        <f t="shared" si="6"/>
        <v>187200</v>
      </c>
      <c r="K122" s="8">
        <f t="shared" si="7"/>
        <v>0</v>
      </c>
      <c r="L122" s="60">
        <f t="shared" si="8"/>
        <v>187200</v>
      </c>
    </row>
    <row r="123" spans="1:12" s="79" customFormat="1">
      <c r="A123" s="63">
        <v>87</v>
      </c>
      <c r="B123" s="49" t="s">
        <v>58</v>
      </c>
      <c r="C123" s="11" t="s">
        <v>17</v>
      </c>
      <c r="D123" s="8">
        <v>6</v>
      </c>
      <c r="E123" s="6">
        <v>5500</v>
      </c>
      <c r="F123" s="7">
        <f t="shared" si="9"/>
        <v>33000</v>
      </c>
      <c r="G123" s="46">
        <v>0</v>
      </c>
      <c r="H123" s="80">
        <v>0</v>
      </c>
      <c r="I123" s="46">
        <v>1.5</v>
      </c>
      <c r="J123" s="46">
        <f t="shared" si="6"/>
        <v>0</v>
      </c>
      <c r="K123" s="8">
        <f t="shared" si="7"/>
        <v>0</v>
      </c>
      <c r="L123" s="60">
        <f t="shared" si="8"/>
        <v>8250</v>
      </c>
    </row>
    <row r="124" spans="1:12">
      <c r="A124" s="66" t="s">
        <v>286</v>
      </c>
      <c r="B124" s="100" t="s">
        <v>194</v>
      </c>
      <c r="C124" s="101"/>
      <c r="D124" s="102"/>
      <c r="E124" s="6"/>
      <c r="F124" s="7"/>
      <c r="G124" s="46"/>
      <c r="H124" s="80">
        <v>0</v>
      </c>
      <c r="I124" s="46"/>
      <c r="J124" s="46"/>
      <c r="K124" s="8"/>
      <c r="L124" s="60"/>
    </row>
    <row r="125" spans="1:12">
      <c r="A125" s="63">
        <v>88</v>
      </c>
      <c r="B125" s="49" t="s">
        <v>59</v>
      </c>
      <c r="C125" s="11" t="s">
        <v>17</v>
      </c>
      <c r="D125" s="8">
        <v>2</v>
      </c>
      <c r="E125" s="6">
        <v>7200</v>
      </c>
      <c r="F125" s="7">
        <f t="shared" si="9"/>
        <v>14400</v>
      </c>
      <c r="G125" s="46">
        <v>1</v>
      </c>
      <c r="H125" s="80">
        <v>0</v>
      </c>
      <c r="I125" s="46">
        <f t="shared" si="10"/>
        <v>1</v>
      </c>
      <c r="J125" s="46">
        <f>G125*E125</f>
        <v>7200</v>
      </c>
      <c r="K125" s="8">
        <f>H125*E125</f>
        <v>0</v>
      </c>
      <c r="L125" s="60">
        <f>I125*E125</f>
        <v>7200</v>
      </c>
    </row>
    <row r="126" spans="1:12">
      <c r="A126" s="63">
        <v>89</v>
      </c>
      <c r="B126" s="49" t="s">
        <v>60</v>
      </c>
      <c r="C126" s="11" t="s">
        <v>17</v>
      </c>
      <c r="D126" s="8">
        <v>3</v>
      </c>
      <c r="E126" s="46">
        <v>7500</v>
      </c>
      <c r="F126" s="7">
        <f t="shared" si="9"/>
        <v>22500</v>
      </c>
      <c r="G126" s="46">
        <v>0</v>
      </c>
      <c r="H126" s="80">
        <v>0</v>
      </c>
      <c r="I126" s="46">
        <f t="shared" si="10"/>
        <v>0</v>
      </c>
      <c r="J126" s="46">
        <f>G126*E126</f>
        <v>0</v>
      </c>
      <c r="K126" s="8">
        <f>H126*E126</f>
        <v>0</v>
      </c>
      <c r="L126" s="60">
        <f>I126*E126</f>
        <v>0</v>
      </c>
    </row>
    <row r="127" spans="1:12">
      <c r="A127" s="62" t="s">
        <v>287</v>
      </c>
      <c r="B127" s="100" t="s">
        <v>195</v>
      </c>
      <c r="C127" s="101"/>
      <c r="D127" s="102"/>
      <c r="E127" s="6"/>
      <c r="F127" s="7"/>
      <c r="G127" s="46"/>
      <c r="H127" s="80">
        <v>0</v>
      </c>
      <c r="I127" s="46"/>
      <c r="J127" s="46"/>
      <c r="K127" s="8"/>
      <c r="L127" s="60"/>
    </row>
    <row r="128" spans="1:12" s="79" customFormat="1">
      <c r="A128" s="61">
        <v>90</v>
      </c>
      <c r="B128" s="49" t="s">
        <v>196</v>
      </c>
      <c r="C128" s="11" t="s">
        <v>17</v>
      </c>
      <c r="D128" s="8">
        <v>3</v>
      </c>
      <c r="E128" s="6">
        <v>12960</v>
      </c>
      <c r="F128" s="7">
        <f t="shared" si="9"/>
        <v>38880</v>
      </c>
      <c r="G128" s="46">
        <v>3</v>
      </c>
      <c r="H128" s="80">
        <v>0</v>
      </c>
      <c r="I128" s="46">
        <f t="shared" si="10"/>
        <v>3</v>
      </c>
      <c r="J128" s="46">
        <f t="shared" si="6"/>
        <v>38880</v>
      </c>
      <c r="K128" s="8">
        <f t="shared" si="7"/>
        <v>0</v>
      </c>
      <c r="L128" s="60">
        <f t="shared" si="8"/>
        <v>38880</v>
      </c>
    </row>
    <row r="129" spans="1:12">
      <c r="A129" s="62" t="s">
        <v>288</v>
      </c>
      <c r="B129" s="100" t="s">
        <v>197</v>
      </c>
      <c r="C129" s="101"/>
      <c r="D129" s="102"/>
      <c r="E129" s="6"/>
      <c r="F129" s="7">
        <f t="shared" si="9"/>
        <v>0</v>
      </c>
      <c r="G129" s="46">
        <v>0</v>
      </c>
      <c r="H129" s="80">
        <v>0</v>
      </c>
      <c r="I129" s="46">
        <f t="shared" si="10"/>
        <v>0</v>
      </c>
      <c r="J129" s="46">
        <f t="shared" si="6"/>
        <v>0</v>
      </c>
      <c r="K129" s="8">
        <f t="shared" si="7"/>
        <v>0</v>
      </c>
      <c r="L129" s="60">
        <f t="shared" si="8"/>
        <v>0</v>
      </c>
    </row>
    <row r="130" spans="1:12">
      <c r="A130" s="61">
        <v>91</v>
      </c>
      <c r="B130" s="49" t="s">
        <v>61</v>
      </c>
      <c r="C130" s="11" t="s">
        <v>62</v>
      </c>
      <c r="D130" s="8">
        <v>6</v>
      </c>
      <c r="E130" s="6">
        <v>7200</v>
      </c>
      <c r="F130" s="7">
        <f t="shared" si="9"/>
        <v>43200</v>
      </c>
      <c r="G130" s="46">
        <v>0</v>
      </c>
      <c r="H130" s="80">
        <v>0</v>
      </c>
      <c r="I130" s="46">
        <f t="shared" si="10"/>
        <v>0</v>
      </c>
      <c r="J130" s="46">
        <f t="shared" si="6"/>
        <v>0</v>
      </c>
      <c r="K130" s="8">
        <f t="shared" si="7"/>
        <v>0</v>
      </c>
      <c r="L130" s="60">
        <f t="shared" si="8"/>
        <v>0</v>
      </c>
    </row>
    <row r="131" spans="1:12">
      <c r="A131" s="62" t="s">
        <v>289</v>
      </c>
      <c r="B131" s="100" t="s">
        <v>198</v>
      </c>
      <c r="C131" s="101"/>
      <c r="D131" s="102"/>
      <c r="E131" s="6"/>
      <c r="F131" s="7"/>
      <c r="G131" s="46"/>
      <c r="H131" s="80">
        <v>0</v>
      </c>
      <c r="I131" s="46"/>
      <c r="J131" s="46"/>
      <c r="K131" s="8"/>
      <c r="L131" s="60"/>
    </row>
    <row r="132" spans="1:12">
      <c r="A132" s="61">
        <v>92</v>
      </c>
      <c r="B132" s="49" t="s">
        <v>63</v>
      </c>
      <c r="C132" s="11" t="s">
        <v>62</v>
      </c>
      <c r="D132" s="8">
        <v>1</v>
      </c>
      <c r="E132" s="6">
        <v>5000</v>
      </c>
      <c r="F132" s="7">
        <f t="shared" si="9"/>
        <v>5000</v>
      </c>
      <c r="G132" s="46">
        <v>0</v>
      </c>
      <c r="H132" s="80">
        <v>0</v>
      </c>
      <c r="I132" s="46">
        <f t="shared" si="10"/>
        <v>0</v>
      </c>
      <c r="J132" s="46">
        <f t="shared" si="6"/>
        <v>0</v>
      </c>
      <c r="K132" s="8">
        <f t="shared" si="7"/>
        <v>0</v>
      </c>
      <c r="L132" s="60">
        <f t="shared" si="8"/>
        <v>0</v>
      </c>
    </row>
    <row r="133" spans="1:12">
      <c r="A133" s="61">
        <v>93</v>
      </c>
      <c r="B133" s="49" t="s">
        <v>64</v>
      </c>
      <c r="C133" s="11" t="s">
        <v>62</v>
      </c>
      <c r="D133" s="8">
        <v>2</v>
      </c>
      <c r="E133" s="6">
        <v>5000</v>
      </c>
      <c r="F133" s="7">
        <f t="shared" si="9"/>
        <v>10000</v>
      </c>
      <c r="G133" s="46">
        <v>0</v>
      </c>
      <c r="H133" s="80">
        <v>0</v>
      </c>
      <c r="I133" s="46">
        <f t="shared" si="10"/>
        <v>0</v>
      </c>
      <c r="J133" s="46">
        <f t="shared" si="6"/>
        <v>0</v>
      </c>
      <c r="K133" s="8">
        <f t="shared" si="7"/>
        <v>0</v>
      </c>
      <c r="L133" s="60">
        <f t="shared" si="8"/>
        <v>0</v>
      </c>
    </row>
    <row r="134" spans="1:12">
      <c r="A134" s="61">
        <v>94</v>
      </c>
      <c r="B134" s="49" t="s">
        <v>65</v>
      </c>
      <c r="C134" s="11" t="s">
        <v>17</v>
      </c>
      <c r="D134" s="8">
        <v>3</v>
      </c>
      <c r="E134" s="6">
        <v>5000</v>
      </c>
      <c r="F134" s="7">
        <f t="shared" si="9"/>
        <v>15000</v>
      </c>
      <c r="G134" s="46">
        <v>0</v>
      </c>
      <c r="H134" s="80">
        <v>0</v>
      </c>
      <c r="I134" s="46">
        <f t="shared" si="10"/>
        <v>0</v>
      </c>
      <c r="J134" s="46">
        <f t="shared" si="6"/>
        <v>0</v>
      </c>
      <c r="K134" s="8">
        <f t="shared" si="7"/>
        <v>0</v>
      </c>
      <c r="L134" s="60">
        <f t="shared" si="8"/>
        <v>0</v>
      </c>
    </row>
    <row r="135" spans="1:12">
      <c r="A135" s="61">
        <v>95</v>
      </c>
      <c r="B135" s="49" t="s">
        <v>66</v>
      </c>
      <c r="C135" s="11" t="s">
        <v>17</v>
      </c>
      <c r="D135" s="8">
        <v>2</v>
      </c>
      <c r="E135" s="6">
        <v>5000</v>
      </c>
      <c r="F135" s="7">
        <f t="shared" si="9"/>
        <v>10000</v>
      </c>
      <c r="G135" s="46">
        <v>0</v>
      </c>
      <c r="H135" s="80">
        <v>0</v>
      </c>
      <c r="I135" s="46">
        <f t="shared" si="10"/>
        <v>0</v>
      </c>
      <c r="J135" s="46">
        <f t="shared" si="6"/>
        <v>0</v>
      </c>
      <c r="K135" s="8">
        <f t="shared" si="7"/>
        <v>0</v>
      </c>
      <c r="L135" s="60">
        <f t="shared" si="8"/>
        <v>0</v>
      </c>
    </row>
    <row r="136" spans="1:12">
      <c r="A136" s="62" t="s">
        <v>290</v>
      </c>
      <c r="B136" s="100" t="s">
        <v>199</v>
      </c>
      <c r="C136" s="101"/>
      <c r="D136" s="102"/>
      <c r="E136" s="6"/>
      <c r="F136" s="7"/>
      <c r="G136" s="46"/>
      <c r="H136" s="80">
        <v>0</v>
      </c>
      <c r="I136" s="46"/>
      <c r="J136" s="46"/>
      <c r="K136" s="8"/>
      <c r="L136" s="60"/>
    </row>
    <row r="137" spans="1:12" s="79" customFormat="1">
      <c r="A137" s="61">
        <v>96</v>
      </c>
      <c r="B137" s="49" t="s">
        <v>67</v>
      </c>
      <c r="C137" s="11" t="s">
        <v>17</v>
      </c>
      <c r="D137" s="8">
        <v>2</v>
      </c>
      <c r="E137" s="6">
        <v>10200</v>
      </c>
      <c r="F137" s="7">
        <f t="shared" si="9"/>
        <v>20400</v>
      </c>
      <c r="G137" s="46">
        <v>2</v>
      </c>
      <c r="H137" s="80">
        <v>0</v>
      </c>
      <c r="I137" s="46">
        <f t="shared" si="10"/>
        <v>2</v>
      </c>
      <c r="J137" s="46">
        <f t="shared" ref="J137:J168" si="11">G137*E137</f>
        <v>20400</v>
      </c>
      <c r="K137" s="8">
        <f t="shared" ref="K137:K169" si="12">H137*E137</f>
        <v>0</v>
      </c>
      <c r="L137" s="60">
        <f t="shared" ref="L137:L169" si="13">I137*E137</f>
        <v>20400</v>
      </c>
    </row>
    <row r="138" spans="1:12">
      <c r="A138" s="61">
        <v>97</v>
      </c>
      <c r="B138" s="49" t="s">
        <v>68</v>
      </c>
      <c r="C138" s="11" t="s">
        <v>17</v>
      </c>
      <c r="D138" s="8">
        <v>2</v>
      </c>
      <c r="E138" s="6">
        <v>5500</v>
      </c>
      <c r="F138" s="7">
        <f t="shared" ref="F138:F197" si="14">E138*D138</f>
        <v>11000</v>
      </c>
      <c r="G138" s="46">
        <v>0</v>
      </c>
      <c r="H138" s="80">
        <v>0</v>
      </c>
      <c r="I138" s="46">
        <f t="shared" si="10"/>
        <v>0</v>
      </c>
      <c r="J138" s="46">
        <f t="shared" si="11"/>
        <v>0</v>
      </c>
      <c r="K138" s="8">
        <f t="shared" si="12"/>
        <v>0</v>
      </c>
      <c r="L138" s="60">
        <f t="shared" si="13"/>
        <v>0</v>
      </c>
    </row>
    <row r="139" spans="1:12">
      <c r="A139" s="61">
        <v>98</v>
      </c>
      <c r="B139" s="49" t="s">
        <v>69</v>
      </c>
      <c r="C139" s="11" t="s">
        <v>17</v>
      </c>
      <c r="D139" s="8">
        <v>2</v>
      </c>
      <c r="E139" s="6">
        <v>5500</v>
      </c>
      <c r="F139" s="7">
        <f t="shared" si="14"/>
        <v>11000</v>
      </c>
      <c r="G139" s="46">
        <v>0</v>
      </c>
      <c r="H139" s="80">
        <v>0</v>
      </c>
      <c r="I139" s="46">
        <f t="shared" si="10"/>
        <v>0</v>
      </c>
      <c r="J139" s="46">
        <f t="shared" si="11"/>
        <v>0</v>
      </c>
      <c r="K139" s="8">
        <f t="shared" si="12"/>
        <v>0</v>
      </c>
      <c r="L139" s="60">
        <f t="shared" si="13"/>
        <v>0</v>
      </c>
    </row>
    <row r="140" spans="1:12">
      <c r="A140" s="61">
        <v>99</v>
      </c>
      <c r="B140" s="49" t="s">
        <v>70</v>
      </c>
      <c r="C140" s="11" t="s">
        <v>17</v>
      </c>
      <c r="D140" s="8">
        <v>1</v>
      </c>
      <c r="E140" s="6">
        <v>8000</v>
      </c>
      <c r="F140" s="7">
        <f t="shared" si="14"/>
        <v>8000</v>
      </c>
      <c r="G140" s="46">
        <v>0</v>
      </c>
      <c r="H140" s="80">
        <v>0</v>
      </c>
      <c r="I140" s="46">
        <f t="shared" si="10"/>
        <v>0</v>
      </c>
      <c r="J140" s="46">
        <f t="shared" si="11"/>
        <v>0</v>
      </c>
      <c r="K140" s="8">
        <f t="shared" si="12"/>
        <v>0</v>
      </c>
      <c r="L140" s="60">
        <f t="shared" si="13"/>
        <v>0</v>
      </c>
    </row>
    <row r="141" spans="1:12">
      <c r="A141" s="62" t="s">
        <v>291</v>
      </c>
      <c r="B141" s="100" t="s">
        <v>200</v>
      </c>
      <c r="C141" s="101"/>
      <c r="D141" s="102"/>
      <c r="E141" s="47"/>
      <c r="F141" s="7"/>
      <c r="G141" s="46"/>
      <c r="H141" s="80">
        <v>0</v>
      </c>
      <c r="I141" s="46"/>
      <c r="J141" s="47"/>
      <c r="K141" s="48"/>
      <c r="L141" s="64"/>
    </row>
    <row r="142" spans="1:12" s="79" customFormat="1">
      <c r="A142" s="65">
        <v>100</v>
      </c>
      <c r="B142" s="49" t="s">
        <v>71</v>
      </c>
      <c r="C142" s="11" t="s">
        <v>17</v>
      </c>
      <c r="D142" s="8">
        <v>2</v>
      </c>
      <c r="E142" s="6">
        <v>81600</v>
      </c>
      <c r="F142" s="7">
        <f t="shared" si="14"/>
        <v>163200</v>
      </c>
      <c r="G142" s="46">
        <v>2</v>
      </c>
      <c r="H142" s="80">
        <v>0</v>
      </c>
      <c r="I142" s="46">
        <f t="shared" si="10"/>
        <v>2</v>
      </c>
      <c r="J142" s="46">
        <f t="shared" si="11"/>
        <v>163200</v>
      </c>
      <c r="K142" s="8">
        <f t="shared" si="12"/>
        <v>0</v>
      </c>
      <c r="L142" s="60">
        <f t="shared" si="13"/>
        <v>163200</v>
      </c>
    </row>
    <row r="143" spans="1:12">
      <c r="A143" s="65">
        <v>101</v>
      </c>
      <c r="B143" s="49" t="s">
        <v>72</v>
      </c>
      <c r="C143" s="11" t="s">
        <v>17</v>
      </c>
      <c r="D143" s="8">
        <v>2</v>
      </c>
      <c r="E143" s="6">
        <v>5500</v>
      </c>
      <c r="F143" s="7">
        <f t="shared" si="14"/>
        <v>11000</v>
      </c>
      <c r="G143" s="46">
        <v>0</v>
      </c>
      <c r="H143" s="80">
        <v>0</v>
      </c>
      <c r="I143" s="46">
        <f t="shared" si="10"/>
        <v>0</v>
      </c>
      <c r="J143" s="46">
        <f t="shared" si="11"/>
        <v>0</v>
      </c>
      <c r="K143" s="8">
        <f t="shared" si="12"/>
        <v>0</v>
      </c>
      <c r="L143" s="60">
        <f t="shared" si="13"/>
        <v>0</v>
      </c>
    </row>
    <row r="144" spans="1:12">
      <c r="A144" s="65">
        <v>101</v>
      </c>
      <c r="B144" s="49" t="s">
        <v>70</v>
      </c>
      <c r="C144" s="11" t="s">
        <v>17</v>
      </c>
      <c r="D144" s="8">
        <v>1</v>
      </c>
      <c r="E144" s="6">
        <v>8000</v>
      </c>
      <c r="F144" s="7">
        <f t="shared" si="14"/>
        <v>8000</v>
      </c>
      <c r="G144" s="46">
        <v>0</v>
      </c>
      <c r="H144" s="80">
        <v>0</v>
      </c>
      <c r="I144" s="46">
        <f t="shared" si="10"/>
        <v>0</v>
      </c>
      <c r="J144" s="46">
        <f t="shared" si="11"/>
        <v>0</v>
      </c>
      <c r="K144" s="43">
        <f>H144*E144</f>
        <v>0</v>
      </c>
      <c r="L144" s="60">
        <f t="shared" si="13"/>
        <v>0</v>
      </c>
    </row>
    <row r="145" spans="1:13">
      <c r="A145" s="65">
        <v>102</v>
      </c>
      <c r="B145" s="49" t="s">
        <v>201</v>
      </c>
      <c r="C145" s="11" t="s">
        <v>17</v>
      </c>
      <c r="D145" s="8">
        <v>1</v>
      </c>
      <c r="E145" s="6">
        <v>1250</v>
      </c>
      <c r="F145" s="7">
        <f t="shared" si="14"/>
        <v>1250</v>
      </c>
      <c r="G145" s="46">
        <v>0</v>
      </c>
      <c r="H145" s="80">
        <v>0</v>
      </c>
      <c r="I145" s="46">
        <f t="shared" si="10"/>
        <v>0</v>
      </c>
      <c r="J145" s="46">
        <f t="shared" si="11"/>
        <v>0</v>
      </c>
      <c r="K145" s="8">
        <f t="shared" si="12"/>
        <v>0</v>
      </c>
      <c r="L145" s="60">
        <f t="shared" si="13"/>
        <v>0</v>
      </c>
      <c r="M145" s="2"/>
    </row>
    <row r="146" spans="1:13">
      <c r="A146" s="66" t="s">
        <v>292</v>
      </c>
      <c r="B146" s="100" t="s">
        <v>202</v>
      </c>
      <c r="C146" s="101"/>
      <c r="D146" s="102"/>
      <c r="E146" s="6"/>
      <c r="F146" s="7"/>
      <c r="G146" s="46"/>
      <c r="H146" s="80">
        <v>0</v>
      </c>
      <c r="I146" s="46"/>
      <c r="J146" s="46"/>
      <c r="K146" s="8"/>
      <c r="L146" s="60"/>
      <c r="M146" s="2"/>
    </row>
    <row r="147" spans="1:13">
      <c r="A147" s="65">
        <v>103</v>
      </c>
      <c r="B147" s="49" t="s">
        <v>73</v>
      </c>
      <c r="C147" s="11" t="s">
        <v>17</v>
      </c>
      <c r="D147" s="8">
        <v>2</v>
      </c>
      <c r="E147" s="6">
        <v>8400</v>
      </c>
      <c r="F147" s="7">
        <f t="shared" si="14"/>
        <v>16800</v>
      </c>
      <c r="G147" s="46">
        <v>0</v>
      </c>
      <c r="H147" s="80">
        <v>0</v>
      </c>
      <c r="I147" s="46">
        <f t="shared" si="10"/>
        <v>0</v>
      </c>
      <c r="J147" s="46">
        <f t="shared" si="11"/>
        <v>0</v>
      </c>
      <c r="K147" s="8">
        <f t="shared" si="12"/>
        <v>0</v>
      </c>
      <c r="L147" s="60">
        <f t="shared" si="13"/>
        <v>0</v>
      </c>
    </row>
    <row r="148" spans="1:13">
      <c r="A148" s="65">
        <v>104</v>
      </c>
      <c r="B148" s="49" t="s">
        <v>203</v>
      </c>
      <c r="C148" s="11" t="s">
        <v>17</v>
      </c>
      <c r="D148" s="8">
        <v>3</v>
      </c>
      <c r="E148" s="6">
        <v>5500</v>
      </c>
      <c r="F148" s="7">
        <f t="shared" si="14"/>
        <v>16500</v>
      </c>
      <c r="G148" s="46">
        <v>0</v>
      </c>
      <c r="H148" s="80">
        <v>0</v>
      </c>
      <c r="I148" s="46">
        <f t="shared" si="10"/>
        <v>0</v>
      </c>
      <c r="J148" s="46">
        <f t="shared" si="11"/>
        <v>0</v>
      </c>
      <c r="K148" s="8">
        <f t="shared" si="12"/>
        <v>0</v>
      </c>
      <c r="L148" s="60">
        <f t="shared" si="13"/>
        <v>0</v>
      </c>
    </row>
    <row r="149" spans="1:13">
      <c r="A149" s="65">
        <v>105</v>
      </c>
      <c r="B149" s="49" t="s">
        <v>204</v>
      </c>
      <c r="C149" s="11" t="s">
        <v>17</v>
      </c>
      <c r="D149" s="8">
        <v>2</v>
      </c>
      <c r="E149" s="6">
        <v>5500</v>
      </c>
      <c r="F149" s="7">
        <f t="shared" si="14"/>
        <v>11000</v>
      </c>
      <c r="G149" s="46">
        <v>0</v>
      </c>
      <c r="H149" s="80">
        <v>0</v>
      </c>
      <c r="I149" s="46">
        <f t="shared" si="10"/>
        <v>0</v>
      </c>
      <c r="J149" s="46">
        <f t="shared" si="11"/>
        <v>0</v>
      </c>
      <c r="K149" s="8">
        <f t="shared" si="12"/>
        <v>0</v>
      </c>
      <c r="L149" s="60">
        <f t="shared" si="13"/>
        <v>0</v>
      </c>
    </row>
    <row r="150" spans="1:13">
      <c r="A150" s="66" t="s">
        <v>293</v>
      </c>
      <c r="B150" s="100" t="s">
        <v>205</v>
      </c>
      <c r="C150" s="101"/>
      <c r="D150" s="102"/>
      <c r="E150" s="6"/>
      <c r="F150" s="7"/>
      <c r="G150" s="46"/>
      <c r="H150" s="80">
        <v>0</v>
      </c>
      <c r="I150" s="46"/>
      <c r="J150" s="46"/>
      <c r="K150" s="8"/>
      <c r="L150" s="60"/>
    </row>
    <row r="151" spans="1:13" s="79" customFormat="1">
      <c r="A151" s="65">
        <v>106</v>
      </c>
      <c r="B151" s="49" t="s">
        <v>74</v>
      </c>
      <c r="C151" s="11" t="s">
        <v>17</v>
      </c>
      <c r="D151" s="8">
        <v>2</v>
      </c>
      <c r="E151" s="6">
        <v>54000</v>
      </c>
      <c r="F151" s="7">
        <f t="shared" si="14"/>
        <v>108000</v>
      </c>
      <c r="G151" s="46">
        <v>2</v>
      </c>
      <c r="H151" s="80">
        <v>0</v>
      </c>
      <c r="I151" s="46">
        <f t="shared" si="10"/>
        <v>2</v>
      </c>
      <c r="J151" s="46">
        <f t="shared" si="11"/>
        <v>108000</v>
      </c>
      <c r="K151" s="8">
        <f t="shared" si="12"/>
        <v>0</v>
      </c>
      <c r="L151" s="60">
        <f t="shared" si="13"/>
        <v>108000</v>
      </c>
    </row>
    <row r="152" spans="1:13">
      <c r="A152" s="61">
        <v>107</v>
      </c>
      <c r="B152" s="49" t="s">
        <v>206</v>
      </c>
      <c r="C152" s="11" t="s">
        <v>17</v>
      </c>
      <c r="D152" s="8">
        <v>2</v>
      </c>
      <c r="E152" s="6">
        <v>5500</v>
      </c>
      <c r="F152" s="7">
        <f t="shared" si="14"/>
        <v>11000</v>
      </c>
      <c r="G152" s="46">
        <v>0</v>
      </c>
      <c r="H152" s="80">
        <v>0</v>
      </c>
      <c r="I152" s="46">
        <f t="shared" si="10"/>
        <v>0</v>
      </c>
      <c r="J152" s="46">
        <f t="shared" si="11"/>
        <v>0</v>
      </c>
      <c r="K152" s="8">
        <f t="shared" si="12"/>
        <v>0</v>
      </c>
      <c r="L152" s="60">
        <f t="shared" si="13"/>
        <v>0</v>
      </c>
    </row>
    <row r="153" spans="1:13">
      <c r="A153" s="61">
        <v>108</v>
      </c>
      <c r="B153" s="49" t="s">
        <v>70</v>
      </c>
      <c r="C153" s="11" t="s">
        <v>17</v>
      </c>
      <c r="D153" s="8">
        <v>1</v>
      </c>
      <c r="E153" s="6">
        <v>5500</v>
      </c>
      <c r="F153" s="7">
        <f t="shared" si="14"/>
        <v>5500</v>
      </c>
      <c r="G153" s="46">
        <v>0</v>
      </c>
      <c r="H153" s="80">
        <v>0</v>
      </c>
      <c r="I153" s="46">
        <f t="shared" si="10"/>
        <v>0</v>
      </c>
      <c r="J153" s="46">
        <f t="shared" si="11"/>
        <v>0</v>
      </c>
      <c r="K153" s="8">
        <f t="shared" si="12"/>
        <v>0</v>
      </c>
      <c r="L153" s="60">
        <f t="shared" si="13"/>
        <v>0</v>
      </c>
    </row>
    <row r="154" spans="1:13">
      <c r="A154" s="62" t="s">
        <v>294</v>
      </c>
      <c r="B154" s="100" t="s">
        <v>207</v>
      </c>
      <c r="C154" s="101"/>
      <c r="D154" s="102"/>
      <c r="E154" s="6"/>
      <c r="F154" s="7"/>
      <c r="G154" s="46"/>
      <c r="H154" s="80">
        <v>0</v>
      </c>
      <c r="I154" s="46"/>
      <c r="J154" s="46"/>
      <c r="K154" s="8"/>
      <c r="L154" s="60"/>
    </row>
    <row r="155" spans="1:13">
      <c r="A155" s="61">
        <v>109</v>
      </c>
      <c r="B155" s="49" t="s">
        <v>75</v>
      </c>
      <c r="C155" s="11" t="s">
        <v>17</v>
      </c>
      <c r="D155" s="8">
        <v>2</v>
      </c>
      <c r="E155" s="6">
        <v>5500</v>
      </c>
      <c r="F155" s="7">
        <f t="shared" si="14"/>
        <v>11000</v>
      </c>
      <c r="G155" s="46">
        <v>0</v>
      </c>
      <c r="H155" s="80">
        <v>0</v>
      </c>
      <c r="I155" s="46">
        <f t="shared" si="10"/>
        <v>0</v>
      </c>
      <c r="J155" s="46">
        <f t="shared" si="11"/>
        <v>0</v>
      </c>
      <c r="K155" s="8">
        <f t="shared" si="12"/>
        <v>0</v>
      </c>
      <c r="L155" s="60">
        <f t="shared" si="13"/>
        <v>0</v>
      </c>
    </row>
    <row r="156" spans="1:13">
      <c r="A156" s="61">
        <v>110</v>
      </c>
      <c r="B156" s="49" t="s">
        <v>76</v>
      </c>
      <c r="C156" s="11" t="s">
        <v>17</v>
      </c>
      <c r="D156" s="8">
        <v>2</v>
      </c>
      <c r="E156" s="6">
        <v>5500</v>
      </c>
      <c r="F156" s="7">
        <f t="shared" si="14"/>
        <v>11000</v>
      </c>
      <c r="G156" s="46">
        <v>0</v>
      </c>
      <c r="H156" s="80">
        <v>0</v>
      </c>
      <c r="I156" s="46">
        <f t="shared" si="10"/>
        <v>0</v>
      </c>
      <c r="J156" s="46">
        <f t="shared" si="11"/>
        <v>0</v>
      </c>
      <c r="K156" s="8">
        <f t="shared" si="12"/>
        <v>0</v>
      </c>
      <c r="L156" s="60">
        <f t="shared" si="13"/>
        <v>0</v>
      </c>
    </row>
    <row r="157" spans="1:13">
      <c r="A157" s="61">
        <v>111</v>
      </c>
      <c r="B157" s="49" t="s">
        <v>77</v>
      </c>
      <c r="C157" s="11" t="s">
        <v>17</v>
      </c>
      <c r="D157" s="8">
        <v>2</v>
      </c>
      <c r="E157" s="6">
        <v>5500</v>
      </c>
      <c r="F157" s="7">
        <f t="shared" si="14"/>
        <v>11000</v>
      </c>
      <c r="G157" s="46">
        <v>0</v>
      </c>
      <c r="H157" s="80">
        <v>0</v>
      </c>
      <c r="I157" s="46">
        <f t="shared" si="10"/>
        <v>0</v>
      </c>
      <c r="J157" s="46">
        <f t="shared" si="11"/>
        <v>0</v>
      </c>
      <c r="K157" s="8">
        <f t="shared" si="12"/>
        <v>0</v>
      </c>
      <c r="L157" s="60">
        <f t="shared" si="13"/>
        <v>0</v>
      </c>
    </row>
    <row r="158" spans="1:13">
      <c r="A158" s="62" t="s">
        <v>295</v>
      </c>
      <c r="B158" s="100" t="s">
        <v>208</v>
      </c>
      <c r="C158" s="101"/>
      <c r="D158" s="102"/>
      <c r="E158" s="6"/>
      <c r="F158" s="7"/>
      <c r="G158" s="46"/>
      <c r="H158" s="80">
        <v>0</v>
      </c>
      <c r="I158" s="46"/>
      <c r="J158" s="46"/>
      <c r="K158" s="8"/>
      <c r="L158" s="60"/>
    </row>
    <row r="159" spans="1:13">
      <c r="A159" s="61">
        <v>112</v>
      </c>
      <c r="B159" s="49" t="s">
        <v>78</v>
      </c>
      <c r="C159" s="11" t="s">
        <v>17</v>
      </c>
      <c r="D159" s="8">
        <v>2</v>
      </c>
      <c r="E159" s="6">
        <v>5500</v>
      </c>
      <c r="F159" s="7">
        <f t="shared" si="14"/>
        <v>11000</v>
      </c>
      <c r="G159" s="46">
        <v>0</v>
      </c>
      <c r="H159" s="80">
        <v>0</v>
      </c>
      <c r="I159" s="46">
        <f t="shared" si="10"/>
        <v>0</v>
      </c>
      <c r="J159" s="46">
        <f t="shared" si="11"/>
        <v>0</v>
      </c>
      <c r="K159" s="8">
        <f t="shared" si="12"/>
        <v>0</v>
      </c>
      <c r="L159" s="60">
        <f t="shared" si="13"/>
        <v>0</v>
      </c>
    </row>
    <row r="160" spans="1:13">
      <c r="A160" s="61">
        <v>113</v>
      </c>
      <c r="B160" s="49" t="s">
        <v>79</v>
      </c>
      <c r="C160" s="11" t="s">
        <v>17</v>
      </c>
      <c r="D160" s="8">
        <v>2</v>
      </c>
      <c r="E160" s="6">
        <v>5500</v>
      </c>
      <c r="F160" s="7">
        <f t="shared" si="14"/>
        <v>11000</v>
      </c>
      <c r="G160" s="46">
        <v>0</v>
      </c>
      <c r="H160" s="80">
        <v>0</v>
      </c>
      <c r="I160" s="46">
        <f t="shared" si="10"/>
        <v>0</v>
      </c>
      <c r="J160" s="46">
        <f t="shared" si="11"/>
        <v>0</v>
      </c>
      <c r="K160" s="8">
        <f t="shared" si="12"/>
        <v>0</v>
      </c>
      <c r="L160" s="60">
        <f t="shared" si="13"/>
        <v>0</v>
      </c>
    </row>
    <row r="161" spans="1:12">
      <c r="A161" s="62" t="s">
        <v>296</v>
      </c>
      <c r="B161" s="100" t="s">
        <v>209</v>
      </c>
      <c r="C161" s="101"/>
      <c r="D161" s="102"/>
      <c r="E161" s="6"/>
      <c r="F161" s="7"/>
      <c r="G161" s="46"/>
      <c r="H161" s="80">
        <v>0</v>
      </c>
      <c r="I161" s="46"/>
      <c r="J161" s="46"/>
      <c r="K161" s="8"/>
      <c r="L161" s="60"/>
    </row>
    <row r="162" spans="1:12" s="79" customFormat="1">
      <c r="A162" s="61">
        <v>114</v>
      </c>
      <c r="B162" s="49" t="s">
        <v>80</v>
      </c>
      <c r="C162" s="11" t="s">
        <v>17</v>
      </c>
      <c r="D162" s="8">
        <v>2</v>
      </c>
      <c r="E162" s="6">
        <v>5500</v>
      </c>
      <c r="F162" s="7">
        <f t="shared" si="14"/>
        <v>11000</v>
      </c>
      <c r="G162" s="46">
        <v>2</v>
      </c>
      <c r="H162" s="80">
        <v>0</v>
      </c>
      <c r="I162" s="46">
        <f t="shared" si="10"/>
        <v>2</v>
      </c>
      <c r="J162" s="46">
        <f t="shared" si="11"/>
        <v>11000</v>
      </c>
      <c r="K162" s="8">
        <f t="shared" si="12"/>
        <v>0</v>
      </c>
      <c r="L162" s="60">
        <f t="shared" si="13"/>
        <v>11000</v>
      </c>
    </row>
    <row r="163" spans="1:12" s="79" customFormat="1">
      <c r="A163" s="61">
        <v>115</v>
      </c>
      <c r="B163" s="49" t="s">
        <v>81</v>
      </c>
      <c r="C163" s="11" t="s">
        <v>17</v>
      </c>
      <c r="D163" s="8">
        <v>2</v>
      </c>
      <c r="E163" s="6">
        <v>5500</v>
      </c>
      <c r="F163" s="7">
        <f t="shared" si="14"/>
        <v>11000</v>
      </c>
      <c r="G163" s="46">
        <v>0</v>
      </c>
      <c r="H163" s="80">
        <v>0</v>
      </c>
      <c r="I163" s="46">
        <f t="shared" si="10"/>
        <v>0</v>
      </c>
      <c r="J163" s="46">
        <f t="shared" si="11"/>
        <v>0</v>
      </c>
      <c r="K163" s="8">
        <f t="shared" si="12"/>
        <v>0</v>
      </c>
      <c r="L163" s="60">
        <f t="shared" si="13"/>
        <v>0</v>
      </c>
    </row>
    <row r="164" spans="1:12" s="79" customFormat="1">
      <c r="A164" s="62" t="s">
        <v>297</v>
      </c>
      <c r="B164" s="100" t="s">
        <v>210</v>
      </c>
      <c r="C164" s="101"/>
      <c r="D164" s="102"/>
      <c r="E164" s="6"/>
      <c r="F164" s="7"/>
      <c r="G164" s="46"/>
      <c r="H164" s="80">
        <v>0</v>
      </c>
      <c r="I164" s="46"/>
      <c r="J164" s="46"/>
      <c r="K164" s="8"/>
      <c r="L164" s="60"/>
    </row>
    <row r="165" spans="1:12" s="79" customFormat="1">
      <c r="A165" s="61">
        <v>116</v>
      </c>
      <c r="B165" s="49" t="s">
        <v>211</v>
      </c>
      <c r="C165" s="11" t="s">
        <v>17</v>
      </c>
      <c r="D165" s="8">
        <v>2</v>
      </c>
      <c r="E165" s="6">
        <v>42000</v>
      </c>
      <c r="F165" s="7">
        <f t="shared" si="14"/>
        <v>84000</v>
      </c>
      <c r="G165" s="46">
        <v>2</v>
      </c>
      <c r="H165" s="80">
        <v>0</v>
      </c>
      <c r="I165" s="46">
        <f t="shared" si="10"/>
        <v>2</v>
      </c>
      <c r="J165" s="46">
        <f t="shared" si="11"/>
        <v>84000</v>
      </c>
      <c r="K165" s="8">
        <f t="shared" si="12"/>
        <v>0</v>
      </c>
      <c r="L165" s="60">
        <f t="shared" si="13"/>
        <v>84000</v>
      </c>
    </row>
    <row r="166" spans="1:12" s="79" customFormat="1">
      <c r="A166" s="61">
        <v>117</v>
      </c>
      <c r="B166" s="49" t="s">
        <v>212</v>
      </c>
      <c r="C166" s="11" t="s">
        <v>17</v>
      </c>
      <c r="D166" s="8">
        <v>2</v>
      </c>
      <c r="E166" s="6">
        <v>5500</v>
      </c>
      <c r="F166" s="7">
        <f t="shared" si="14"/>
        <v>11000</v>
      </c>
      <c r="G166" s="46">
        <v>0</v>
      </c>
      <c r="H166" s="80">
        <v>0</v>
      </c>
      <c r="I166" s="46">
        <f t="shared" si="10"/>
        <v>0</v>
      </c>
      <c r="J166" s="46">
        <f t="shared" si="11"/>
        <v>0</v>
      </c>
      <c r="K166" s="8">
        <f t="shared" si="12"/>
        <v>0</v>
      </c>
      <c r="L166" s="60">
        <f t="shared" si="13"/>
        <v>0</v>
      </c>
    </row>
    <row r="167" spans="1:12" s="79" customFormat="1">
      <c r="A167" s="62" t="s">
        <v>298</v>
      </c>
      <c r="B167" s="100" t="s">
        <v>213</v>
      </c>
      <c r="C167" s="101"/>
      <c r="D167" s="102"/>
      <c r="E167" s="6"/>
      <c r="F167" s="7">
        <f t="shared" si="14"/>
        <v>0</v>
      </c>
      <c r="G167" s="46">
        <v>0</v>
      </c>
      <c r="H167" s="80">
        <v>0</v>
      </c>
      <c r="I167" s="46">
        <f t="shared" si="10"/>
        <v>0</v>
      </c>
      <c r="J167" s="46">
        <f t="shared" si="11"/>
        <v>0</v>
      </c>
      <c r="K167" s="8">
        <f t="shared" si="12"/>
        <v>0</v>
      </c>
      <c r="L167" s="60">
        <f t="shared" si="13"/>
        <v>0</v>
      </c>
    </row>
    <row r="168" spans="1:12" s="79" customFormat="1">
      <c r="A168" s="61">
        <v>118</v>
      </c>
      <c r="B168" s="49" t="s">
        <v>214</v>
      </c>
      <c r="C168" s="11" t="s">
        <v>17</v>
      </c>
      <c r="D168" s="8">
        <v>2</v>
      </c>
      <c r="E168" s="6">
        <v>5500</v>
      </c>
      <c r="F168" s="7">
        <f t="shared" si="14"/>
        <v>11000</v>
      </c>
      <c r="G168" s="46">
        <v>2</v>
      </c>
      <c r="H168" s="80">
        <v>0</v>
      </c>
      <c r="I168" s="46">
        <f t="shared" si="10"/>
        <v>2</v>
      </c>
      <c r="J168" s="46">
        <f t="shared" si="11"/>
        <v>11000</v>
      </c>
      <c r="K168" s="8">
        <f t="shared" si="12"/>
        <v>0</v>
      </c>
      <c r="L168" s="60">
        <f t="shared" si="13"/>
        <v>11000</v>
      </c>
    </row>
    <row r="169" spans="1:12">
      <c r="A169" s="61">
        <v>119</v>
      </c>
      <c r="B169" s="49" t="s">
        <v>215</v>
      </c>
      <c r="C169" s="11" t="s">
        <v>17</v>
      </c>
      <c r="D169" s="8">
        <v>2</v>
      </c>
      <c r="E169" s="6">
        <v>5500</v>
      </c>
      <c r="F169" s="7">
        <f t="shared" si="14"/>
        <v>11000</v>
      </c>
      <c r="G169" s="46">
        <v>0</v>
      </c>
      <c r="H169" s="80">
        <v>0</v>
      </c>
      <c r="I169" s="46">
        <f t="shared" si="10"/>
        <v>0</v>
      </c>
      <c r="J169" s="46">
        <f>G169*E169</f>
        <v>0</v>
      </c>
      <c r="K169" s="8">
        <f t="shared" si="12"/>
        <v>0</v>
      </c>
      <c r="L169" s="60">
        <f t="shared" si="13"/>
        <v>0</v>
      </c>
    </row>
    <row r="170" spans="1:12">
      <c r="A170" s="61">
        <v>120</v>
      </c>
      <c r="B170" s="49" t="s">
        <v>216</v>
      </c>
      <c r="C170" s="11" t="s">
        <v>17</v>
      </c>
      <c r="D170" s="8">
        <v>2</v>
      </c>
      <c r="E170" s="6">
        <v>5500</v>
      </c>
      <c r="F170" s="7">
        <f t="shared" si="14"/>
        <v>11000</v>
      </c>
      <c r="G170" s="46">
        <v>0</v>
      </c>
      <c r="H170" s="80">
        <v>0</v>
      </c>
      <c r="I170" s="46">
        <f t="shared" si="10"/>
        <v>0</v>
      </c>
      <c r="J170" s="46">
        <f t="shared" ref="J170:J218" si="15">G170*E170</f>
        <v>0</v>
      </c>
      <c r="K170" s="8">
        <f t="shared" ref="K170:K218" si="16">H170*E170</f>
        <v>0</v>
      </c>
      <c r="L170" s="60">
        <f t="shared" ref="L170:L218" si="17">I170*E170</f>
        <v>0</v>
      </c>
    </row>
    <row r="171" spans="1:12">
      <c r="A171" s="66" t="s">
        <v>299</v>
      </c>
      <c r="B171" s="99" t="s">
        <v>83</v>
      </c>
      <c r="C171" s="101"/>
      <c r="D171" s="102"/>
      <c r="E171" s="6"/>
      <c r="F171" s="7">
        <f t="shared" si="14"/>
        <v>0</v>
      </c>
      <c r="G171" s="46">
        <v>0</v>
      </c>
      <c r="H171" s="80">
        <v>0</v>
      </c>
      <c r="I171" s="46">
        <f t="shared" si="10"/>
        <v>0</v>
      </c>
      <c r="J171" s="46">
        <f t="shared" si="15"/>
        <v>0</v>
      </c>
      <c r="K171" s="8">
        <f t="shared" si="16"/>
        <v>0</v>
      </c>
      <c r="L171" s="60">
        <f t="shared" si="17"/>
        <v>0</v>
      </c>
    </row>
    <row r="172" spans="1:12" ht="63.75">
      <c r="A172" s="66"/>
      <c r="B172" s="51" t="s">
        <v>217</v>
      </c>
      <c r="C172" s="11"/>
      <c r="D172" s="8"/>
      <c r="E172" s="6"/>
      <c r="F172" s="7">
        <f t="shared" si="14"/>
        <v>0</v>
      </c>
      <c r="G172" s="46">
        <v>0</v>
      </c>
      <c r="H172" s="80">
        <v>0</v>
      </c>
      <c r="I172" s="46">
        <f t="shared" si="10"/>
        <v>0</v>
      </c>
      <c r="J172" s="46">
        <f t="shared" si="15"/>
        <v>0</v>
      </c>
      <c r="K172" s="8">
        <f t="shared" si="16"/>
        <v>0</v>
      </c>
      <c r="L172" s="60">
        <f t="shared" si="17"/>
        <v>0</v>
      </c>
    </row>
    <row r="173" spans="1:12">
      <c r="A173" s="66">
        <v>121</v>
      </c>
      <c r="B173" s="49" t="s">
        <v>218</v>
      </c>
      <c r="C173" s="11" t="s">
        <v>84</v>
      </c>
      <c r="D173" s="8">
        <v>54840</v>
      </c>
      <c r="E173" s="6">
        <v>170</v>
      </c>
      <c r="F173" s="7">
        <f t="shared" si="14"/>
        <v>9322800</v>
      </c>
      <c r="G173" s="46">
        <v>0</v>
      </c>
      <c r="H173" s="80">
        <v>0</v>
      </c>
      <c r="I173" s="46">
        <f t="shared" si="10"/>
        <v>0</v>
      </c>
      <c r="J173" s="46">
        <f t="shared" si="15"/>
        <v>0</v>
      </c>
      <c r="K173" s="8">
        <f t="shared" si="16"/>
        <v>0</v>
      </c>
      <c r="L173" s="60">
        <f t="shared" si="17"/>
        <v>0</v>
      </c>
    </row>
    <row r="174" spans="1:12">
      <c r="A174" s="66">
        <v>122</v>
      </c>
      <c r="B174" s="49"/>
      <c r="C174" s="11" t="s">
        <v>85</v>
      </c>
      <c r="D174" s="8">
        <v>11316</v>
      </c>
      <c r="E174" s="6">
        <v>180</v>
      </c>
      <c r="F174" s="7">
        <f t="shared" si="14"/>
        <v>2036880</v>
      </c>
      <c r="G174" s="46">
        <v>0</v>
      </c>
      <c r="H174" s="80">
        <v>0</v>
      </c>
      <c r="I174" s="46">
        <f t="shared" si="10"/>
        <v>0</v>
      </c>
      <c r="J174" s="46">
        <f t="shared" si="15"/>
        <v>0</v>
      </c>
      <c r="K174" s="8">
        <f t="shared" si="16"/>
        <v>0</v>
      </c>
      <c r="L174" s="60">
        <f t="shared" si="17"/>
        <v>0</v>
      </c>
    </row>
    <row r="175" spans="1:12">
      <c r="A175" s="105">
        <v>123</v>
      </c>
      <c r="B175" s="49" t="s">
        <v>219</v>
      </c>
      <c r="C175" s="11" t="s">
        <v>84</v>
      </c>
      <c r="D175" s="8">
        <v>2050</v>
      </c>
      <c r="E175" s="6">
        <v>325</v>
      </c>
      <c r="F175" s="7">
        <f t="shared" si="14"/>
        <v>666250</v>
      </c>
      <c r="G175" s="46">
        <v>0</v>
      </c>
      <c r="H175" s="80">
        <v>0</v>
      </c>
      <c r="I175" s="46">
        <f t="shared" si="10"/>
        <v>0</v>
      </c>
      <c r="J175" s="46">
        <f t="shared" si="15"/>
        <v>0</v>
      </c>
      <c r="K175" s="8">
        <f t="shared" si="16"/>
        <v>0</v>
      </c>
      <c r="L175" s="60">
        <f t="shared" si="17"/>
        <v>0</v>
      </c>
    </row>
    <row r="176" spans="1:12">
      <c r="A176" s="105">
        <v>124</v>
      </c>
      <c r="B176" s="49"/>
      <c r="C176" s="11" t="s">
        <v>250</v>
      </c>
      <c r="D176" s="8">
        <v>6060</v>
      </c>
      <c r="E176" s="6">
        <v>200</v>
      </c>
      <c r="F176" s="7">
        <f t="shared" si="14"/>
        <v>1212000</v>
      </c>
      <c r="G176" s="46">
        <v>0</v>
      </c>
      <c r="H176" s="80">
        <v>1320.8</v>
      </c>
      <c r="I176" s="46">
        <f t="shared" si="10"/>
        <v>1320.8</v>
      </c>
      <c r="J176" s="46">
        <f t="shared" si="15"/>
        <v>0</v>
      </c>
      <c r="K176" s="8">
        <f t="shared" si="16"/>
        <v>264160</v>
      </c>
      <c r="L176" s="60">
        <f t="shared" si="17"/>
        <v>264160</v>
      </c>
    </row>
    <row r="177" spans="1:12">
      <c r="A177" s="105">
        <v>125</v>
      </c>
      <c r="B177" s="49" t="s">
        <v>220</v>
      </c>
      <c r="C177" s="11" t="s">
        <v>84</v>
      </c>
      <c r="D177" s="8">
        <v>300</v>
      </c>
      <c r="E177" s="6">
        <v>625</v>
      </c>
      <c r="F177" s="7">
        <f t="shared" si="14"/>
        <v>187500</v>
      </c>
      <c r="G177" s="46">
        <v>0</v>
      </c>
      <c r="H177" s="80">
        <v>0</v>
      </c>
      <c r="I177" s="46">
        <f t="shared" si="10"/>
        <v>0</v>
      </c>
      <c r="J177" s="46">
        <f t="shared" si="15"/>
        <v>0</v>
      </c>
      <c r="K177" s="8">
        <f t="shared" si="16"/>
        <v>0</v>
      </c>
      <c r="L177" s="60">
        <f t="shared" si="17"/>
        <v>0</v>
      </c>
    </row>
    <row r="178" spans="1:12">
      <c r="A178" s="105">
        <v>126</v>
      </c>
      <c r="B178" s="49"/>
      <c r="C178" s="11" t="s">
        <v>86</v>
      </c>
      <c r="D178" s="8">
        <v>5500</v>
      </c>
      <c r="E178" s="6">
        <v>200</v>
      </c>
      <c r="F178" s="7">
        <f t="shared" si="14"/>
        <v>1100000</v>
      </c>
      <c r="G178" s="46">
        <v>0</v>
      </c>
      <c r="H178" s="80">
        <v>0</v>
      </c>
      <c r="I178" s="46">
        <f t="shared" si="10"/>
        <v>0</v>
      </c>
      <c r="J178" s="46">
        <f t="shared" si="15"/>
        <v>0</v>
      </c>
      <c r="K178" s="8">
        <f t="shared" si="16"/>
        <v>0</v>
      </c>
      <c r="L178" s="60">
        <f t="shared" si="17"/>
        <v>0</v>
      </c>
    </row>
    <row r="179" spans="1:12">
      <c r="A179" s="105">
        <v>127</v>
      </c>
      <c r="B179" s="49" t="s">
        <v>221</v>
      </c>
      <c r="C179" s="11" t="s">
        <v>84</v>
      </c>
      <c r="D179" s="8">
        <v>500</v>
      </c>
      <c r="E179" s="6">
        <v>850</v>
      </c>
      <c r="F179" s="7">
        <f t="shared" si="14"/>
        <v>425000</v>
      </c>
      <c r="G179" s="46">
        <v>0</v>
      </c>
      <c r="H179" s="80">
        <v>0</v>
      </c>
      <c r="I179" s="46">
        <f t="shared" ref="I179:I218" si="18">G179+H179</f>
        <v>0</v>
      </c>
      <c r="J179" s="46">
        <f t="shared" si="15"/>
        <v>0</v>
      </c>
      <c r="K179" s="8">
        <f t="shared" si="16"/>
        <v>0</v>
      </c>
      <c r="L179" s="60">
        <f t="shared" si="17"/>
        <v>0</v>
      </c>
    </row>
    <row r="180" spans="1:12">
      <c r="A180" s="105">
        <v>128</v>
      </c>
      <c r="B180" s="49"/>
      <c r="C180" s="74" t="s">
        <v>85</v>
      </c>
      <c r="D180" s="75">
        <v>6500</v>
      </c>
      <c r="E180" s="84">
        <v>200</v>
      </c>
      <c r="F180" s="76">
        <f t="shared" si="14"/>
        <v>1300000</v>
      </c>
      <c r="G180" s="77">
        <v>500</v>
      </c>
      <c r="H180" s="81">
        <v>0</v>
      </c>
      <c r="I180" s="77">
        <f t="shared" si="18"/>
        <v>500</v>
      </c>
      <c r="J180" s="77">
        <f t="shared" si="15"/>
        <v>100000</v>
      </c>
      <c r="K180" s="75">
        <f t="shared" si="16"/>
        <v>0</v>
      </c>
      <c r="L180" s="78">
        <f t="shared" si="17"/>
        <v>100000</v>
      </c>
    </row>
    <row r="181" spans="1:12" s="79" customFormat="1">
      <c r="A181" s="105">
        <v>129</v>
      </c>
      <c r="B181" s="49" t="s">
        <v>222</v>
      </c>
      <c r="C181" s="11" t="s">
        <v>84</v>
      </c>
      <c r="D181" s="8">
        <v>10000</v>
      </c>
      <c r="E181" s="6">
        <v>260</v>
      </c>
      <c r="F181" s="7">
        <f t="shared" si="14"/>
        <v>2600000</v>
      </c>
      <c r="G181" s="46">
        <v>0</v>
      </c>
      <c r="H181" s="80">
        <v>0</v>
      </c>
      <c r="I181" s="46">
        <f t="shared" si="18"/>
        <v>0</v>
      </c>
      <c r="J181" s="46">
        <f t="shared" si="15"/>
        <v>0</v>
      </c>
      <c r="K181" s="8">
        <f t="shared" si="16"/>
        <v>0</v>
      </c>
      <c r="L181" s="60">
        <f t="shared" si="17"/>
        <v>0</v>
      </c>
    </row>
    <row r="182" spans="1:12">
      <c r="A182" s="105">
        <v>130</v>
      </c>
      <c r="B182" s="49" t="s">
        <v>223</v>
      </c>
      <c r="C182" s="11" t="s">
        <v>251</v>
      </c>
      <c r="D182" s="8">
        <v>1000</v>
      </c>
      <c r="E182" s="6">
        <v>254</v>
      </c>
      <c r="F182" s="7">
        <f t="shared" si="14"/>
        <v>254000</v>
      </c>
      <c r="G182" s="46">
        <v>0</v>
      </c>
      <c r="H182" s="80">
        <v>0</v>
      </c>
      <c r="I182" s="46">
        <f t="shared" si="18"/>
        <v>0</v>
      </c>
      <c r="J182" s="46">
        <f t="shared" si="15"/>
        <v>0</v>
      </c>
      <c r="K182" s="8">
        <f t="shared" si="16"/>
        <v>0</v>
      </c>
      <c r="L182" s="60">
        <f t="shared" si="17"/>
        <v>0</v>
      </c>
    </row>
    <row r="183" spans="1:12">
      <c r="A183" s="106" t="s">
        <v>300</v>
      </c>
      <c r="B183" s="99" t="s">
        <v>87</v>
      </c>
      <c r="C183" s="101"/>
      <c r="D183" s="102"/>
      <c r="E183" s="6"/>
      <c r="F183" s="7"/>
      <c r="G183" s="46"/>
      <c r="H183" s="80">
        <v>0</v>
      </c>
      <c r="I183" s="46"/>
      <c r="J183" s="46"/>
      <c r="K183" s="8"/>
      <c r="L183" s="60"/>
    </row>
    <row r="184" spans="1:12">
      <c r="A184" s="105">
        <v>131</v>
      </c>
      <c r="B184" s="53" t="s">
        <v>87</v>
      </c>
      <c r="C184" s="5"/>
      <c r="D184" s="58"/>
      <c r="E184" s="6"/>
      <c r="F184" s="7"/>
      <c r="G184" s="46"/>
      <c r="H184" s="80">
        <v>0</v>
      </c>
      <c r="I184" s="46"/>
      <c r="J184" s="46"/>
      <c r="K184" s="8"/>
      <c r="L184" s="60"/>
    </row>
    <row r="185" spans="1:12" ht="25.5">
      <c r="A185" s="105">
        <v>132</v>
      </c>
      <c r="B185" s="53" t="s">
        <v>224</v>
      </c>
      <c r="C185" s="5" t="s">
        <v>17</v>
      </c>
      <c r="D185" s="58">
        <v>1</v>
      </c>
      <c r="E185" s="6">
        <v>140000</v>
      </c>
      <c r="F185" s="7">
        <f t="shared" si="14"/>
        <v>140000</v>
      </c>
      <c r="G185" s="46">
        <v>0</v>
      </c>
      <c r="H185" s="80">
        <v>0</v>
      </c>
      <c r="I185" s="46">
        <f t="shared" si="18"/>
        <v>0</v>
      </c>
      <c r="J185" s="46">
        <f t="shared" si="15"/>
        <v>0</v>
      </c>
      <c r="K185" s="8">
        <f t="shared" si="16"/>
        <v>0</v>
      </c>
      <c r="L185" s="60">
        <f t="shared" si="17"/>
        <v>0</v>
      </c>
    </row>
    <row r="186" spans="1:12" ht="25.5">
      <c r="A186" s="105">
        <v>133</v>
      </c>
      <c r="B186" s="53" t="s">
        <v>225</v>
      </c>
      <c r="C186" s="5" t="s">
        <v>17</v>
      </c>
      <c r="D186" s="58">
        <v>1</v>
      </c>
      <c r="E186" s="6">
        <v>140000</v>
      </c>
      <c r="F186" s="7">
        <f t="shared" si="14"/>
        <v>140000</v>
      </c>
      <c r="G186" s="46">
        <v>0</v>
      </c>
      <c r="H186" s="80">
        <v>0</v>
      </c>
      <c r="I186" s="46">
        <f t="shared" si="18"/>
        <v>0</v>
      </c>
      <c r="J186" s="46">
        <f t="shared" si="15"/>
        <v>0</v>
      </c>
      <c r="K186" s="8">
        <f t="shared" si="16"/>
        <v>0</v>
      </c>
      <c r="L186" s="60">
        <f t="shared" si="17"/>
        <v>0</v>
      </c>
    </row>
    <row r="187" spans="1:12" ht="25.5">
      <c r="A187" s="105">
        <v>134</v>
      </c>
      <c r="B187" s="53" t="s">
        <v>226</v>
      </c>
      <c r="C187" s="5" t="s">
        <v>17</v>
      </c>
      <c r="D187" s="58">
        <v>1</v>
      </c>
      <c r="E187" s="6">
        <v>140000</v>
      </c>
      <c r="F187" s="7">
        <f t="shared" si="14"/>
        <v>140000</v>
      </c>
      <c r="G187" s="46">
        <v>0</v>
      </c>
      <c r="H187" s="80">
        <v>0</v>
      </c>
      <c r="I187" s="46">
        <f t="shared" si="18"/>
        <v>0</v>
      </c>
      <c r="J187" s="46">
        <f t="shared" si="15"/>
        <v>0</v>
      </c>
      <c r="K187" s="8">
        <f t="shared" si="16"/>
        <v>0</v>
      </c>
      <c r="L187" s="60">
        <f t="shared" si="17"/>
        <v>0</v>
      </c>
    </row>
    <row r="188" spans="1:12" ht="25.5">
      <c r="A188" s="105">
        <v>135</v>
      </c>
      <c r="B188" s="53" t="s">
        <v>227</v>
      </c>
      <c r="C188" s="5" t="s">
        <v>17</v>
      </c>
      <c r="D188" s="58">
        <v>1</v>
      </c>
      <c r="E188" s="6">
        <v>140000</v>
      </c>
      <c r="F188" s="7">
        <f t="shared" si="14"/>
        <v>140000</v>
      </c>
      <c r="G188" s="46">
        <v>0</v>
      </c>
      <c r="H188" s="80">
        <v>0</v>
      </c>
      <c r="I188" s="46">
        <f t="shared" si="18"/>
        <v>0</v>
      </c>
      <c r="J188" s="46">
        <f t="shared" si="15"/>
        <v>0</v>
      </c>
      <c r="K188" s="8">
        <f t="shared" si="16"/>
        <v>0</v>
      </c>
      <c r="L188" s="60">
        <f t="shared" si="17"/>
        <v>0</v>
      </c>
    </row>
    <row r="189" spans="1:12" ht="25.5">
      <c r="A189" s="105">
        <v>136</v>
      </c>
      <c r="B189" s="53" t="s">
        <v>228</v>
      </c>
      <c r="C189" s="5" t="s">
        <v>17</v>
      </c>
      <c r="D189" s="58">
        <v>1</v>
      </c>
      <c r="E189" s="6">
        <v>140000</v>
      </c>
      <c r="F189" s="7">
        <f t="shared" si="14"/>
        <v>140000</v>
      </c>
      <c r="G189" s="46">
        <v>0</v>
      </c>
      <c r="H189" s="80">
        <v>0</v>
      </c>
      <c r="I189" s="46">
        <f t="shared" si="18"/>
        <v>0</v>
      </c>
      <c r="J189" s="46">
        <f t="shared" si="15"/>
        <v>0</v>
      </c>
      <c r="K189" s="8">
        <f t="shared" si="16"/>
        <v>0</v>
      </c>
      <c r="L189" s="60">
        <f t="shared" si="17"/>
        <v>0</v>
      </c>
    </row>
    <row r="190" spans="1:12" ht="25.5">
      <c r="A190" s="105">
        <v>137</v>
      </c>
      <c r="B190" s="53" t="s">
        <v>229</v>
      </c>
      <c r="C190" s="5" t="s">
        <v>17</v>
      </c>
      <c r="D190" s="58">
        <v>1</v>
      </c>
      <c r="E190" s="6">
        <v>140000</v>
      </c>
      <c r="F190" s="7">
        <f t="shared" si="14"/>
        <v>140000</v>
      </c>
      <c r="G190" s="46">
        <v>0</v>
      </c>
      <c r="H190" s="80">
        <v>0</v>
      </c>
      <c r="I190" s="46">
        <f t="shared" si="18"/>
        <v>0</v>
      </c>
      <c r="J190" s="46">
        <f t="shared" si="15"/>
        <v>0</v>
      </c>
      <c r="K190" s="8">
        <f t="shared" si="16"/>
        <v>0</v>
      </c>
      <c r="L190" s="60">
        <f t="shared" si="17"/>
        <v>0</v>
      </c>
    </row>
    <row r="191" spans="1:12" ht="25.5">
      <c r="A191" s="105">
        <v>138</v>
      </c>
      <c r="B191" s="53" t="s">
        <v>230</v>
      </c>
      <c r="C191" s="5" t="s">
        <v>17</v>
      </c>
      <c r="D191" s="58">
        <v>1</v>
      </c>
      <c r="E191" s="6">
        <v>140000</v>
      </c>
      <c r="F191" s="7">
        <f t="shared" si="14"/>
        <v>140000</v>
      </c>
      <c r="G191" s="46">
        <v>0</v>
      </c>
      <c r="H191" s="80">
        <v>0</v>
      </c>
      <c r="I191" s="46">
        <f t="shared" si="18"/>
        <v>0</v>
      </c>
      <c r="J191" s="46">
        <f t="shared" si="15"/>
        <v>0</v>
      </c>
      <c r="K191" s="8">
        <f t="shared" si="16"/>
        <v>0</v>
      </c>
      <c r="L191" s="60">
        <f t="shared" si="17"/>
        <v>0</v>
      </c>
    </row>
    <row r="192" spans="1:12" ht="25.5">
      <c r="A192" s="105">
        <v>139</v>
      </c>
      <c r="B192" s="53" t="s">
        <v>231</v>
      </c>
      <c r="C192" s="5" t="s">
        <v>17</v>
      </c>
      <c r="D192" s="58">
        <v>1</v>
      </c>
      <c r="E192" s="6">
        <v>140000</v>
      </c>
      <c r="F192" s="7">
        <f t="shared" si="14"/>
        <v>140000</v>
      </c>
      <c r="G192" s="46">
        <v>0</v>
      </c>
      <c r="H192" s="80">
        <v>0</v>
      </c>
      <c r="I192" s="46">
        <f t="shared" si="18"/>
        <v>0</v>
      </c>
      <c r="J192" s="46">
        <f t="shared" si="15"/>
        <v>0</v>
      </c>
      <c r="K192" s="8">
        <f t="shared" si="16"/>
        <v>0</v>
      </c>
      <c r="L192" s="60">
        <f t="shared" si="17"/>
        <v>0</v>
      </c>
    </row>
    <row r="193" spans="1:12" ht="25.5">
      <c r="A193" s="105">
        <v>140</v>
      </c>
      <c r="B193" s="53" t="s">
        <v>232</v>
      </c>
      <c r="C193" s="5" t="s">
        <v>17</v>
      </c>
      <c r="D193" s="58">
        <v>1</v>
      </c>
      <c r="E193" s="6">
        <v>140000</v>
      </c>
      <c r="F193" s="7">
        <f t="shared" si="14"/>
        <v>140000</v>
      </c>
      <c r="G193" s="46">
        <v>0</v>
      </c>
      <c r="H193" s="80">
        <v>0</v>
      </c>
      <c r="I193" s="46">
        <f t="shared" si="18"/>
        <v>0</v>
      </c>
      <c r="J193" s="46">
        <f t="shared" si="15"/>
        <v>0</v>
      </c>
      <c r="K193" s="8">
        <f t="shared" si="16"/>
        <v>0</v>
      </c>
      <c r="L193" s="60">
        <f t="shared" si="17"/>
        <v>0</v>
      </c>
    </row>
    <row r="194" spans="1:12" ht="25.5">
      <c r="A194" s="105">
        <v>141</v>
      </c>
      <c r="B194" s="53" t="s">
        <v>233</v>
      </c>
      <c r="C194" s="5" t="s">
        <v>17</v>
      </c>
      <c r="D194" s="58">
        <v>1</v>
      </c>
      <c r="E194" s="6">
        <v>140000</v>
      </c>
      <c r="F194" s="7">
        <f t="shared" si="14"/>
        <v>140000</v>
      </c>
      <c r="G194" s="46">
        <v>0</v>
      </c>
      <c r="H194" s="80">
        <v>0</v>
      </c>
      <c r="I194" s="46">
        <f t="shared" si="18"/>
        <v>0</v>
      </c>
      <c r="J194" s="46">
        <f t="shared" si="15"/>
        <v>0</v>
      </c>
      <c r="K194" s="8">
        <f t="shared" si="16"/>
        <v>0</v>
      </c>
      <c r="L194" s="60">
        <f t="shared" si="17"/>
        <v>0</v>
      </c>
    </row>
    <row r="195" spans="1:12" ht="25.5">
      <c r="A195" s="105">
        <v>142</v>
      </c>
      <c r="B195" s="53" t="s">
        <v>234</v>
      </c>
      <c r="C195" s="5" t="s">
        <v>17</v>
      </c>
      <c r="D195" s="58">
        <v>1</v>
      </c>
      <c r="E195" s="6">
        <v>140000</v>
      </c>
      <c r="F195" s="7">
        <f t="shared" si="14"/>
        <v>140000</v>
      </c>
      <c r="G195" s="46">
        <v>0</v>
      </c>
      <c r="H195" s="80">
        <v>0</v>
      </c>
      <c r="I195" s="46">
        <f t="shared" si="18"/>
        <v>0</v>
      </c>
      <c r="J195" s="46">
        <f t="shared" si="15"/>
        <v>0</v>
      </c>
      <c r="K195" s="8">
        <f t="shared" si="16"/>
        <v>0</v>
      </c>
      <c r="L195" s="60">
        <f t="shared" si="17"/>
        <v>0</v>
      </c>
    </row>
    <row r="196" spans="1:12" ht="25.5">
      <c r="A196" s="105">
        <v>143</v>
      </c>
      <c r="B196" s="53" t="s">
        <v>235</v>
      </c>
      <c r="C196" s="5" t="s">
        <v>17</v>
      </c>
      <c r="D196" s="58">
        <v>1</v>
      </c>
      <c r="E196" s="6">
        <v>140000</v>
      </c>
      <c r="F196" s="7">
        <f t="shared" si="14"/>
        <v>140000</v>
      </c>
      <c r="G196" s="46">
        <v>0</v>
      </c>
      <c r="H196" s="80">
        <v>0</v>
      </c>
      <c r="I196" s="46">
        <f t="shared" si="18"/>
        <v>0</v>
      </c>
      <c r="J196" s="46">
        <f t="shared" si="15"/>
        <v>0</v>
      </c>
      <c r="K196" s="8">
        <f t="shared" si="16"/>
        <v>0</v>
      </c>
      <c r="L196" s="60">
        <f t="shared" si="17"/>
        <v>0</v>
      </c>
    </row>
    <row r="197" spans="1:12">
      <c r="A197" s="106" t="s">
        <v>301</v>
      </c>
      <c r="B197" s="100" t="s">
        <v>236</v>
      </c>
      <c r="C197" s="101"/>
      <c r="D197" s="102"/>
      <c r="E197" s="6"/>
      <c r="F197" s="7">
        <f t="shared" si="14"/>
        <v>0</v>
      </c>
      <c r="G197" s="46">
        <v>0</v>
      </c>
      <c r="H197" s="80">
        <v>0</v>
      </c>
      <c r="I197" s="46">
        <f t="shared" si="18"/>
        <v>0</v>
      </c>
      <c r="J197" s="46">
        <f t="shared" si="15"/>
        <v>0</v>
      </c>
      <c r="K197" s="8">
        <f t="shared" si="16"/>
        <v>0</v>
      </c>
      <c r="L197" s="60">
        <f t="shared" si="17"/>
        <v>0</v>
      </c>
    </row>
    <row r="198" spans="1:12" ht="38.25">
      <c r="A198" s="85">
        <v>144</v>
      </c>
      <c r="B198" s="86" t="s">
        <v>88</v>
      </c>
      <c r="C198" s="74" t="s">
        <v>89</v>
      </c>
      <c r="D198" s="75">
        <v>250</v>
      </c>
      <c r="E198" s="84">
        <v>42000</v>
      </c>
      <c r="F198" s="76">
        <f t="shared" ref="F198:F216" si="19">E198*D198</f>
        <v>10500000</v>
      </c>
      <c r="G198" s="77">
        <v>25</v>
      </c>
      <c r="H198" s="81">
        <v>35</v>
      </c>
      <c r="I198" s="77">
        <f t="shared" si="18"/>
        <v>60</v>
      </c>
      <c r="J198" s="77">
        <f t="shared" si="15"/>
        <v>1050000</v>
      </c>
      <c r="K198" s="75">
        <f t="shared" si="16"/>
        <v>1470000</v>
      </c>
      <c r="L198" s="78">
        <f t="shared" si="17"/>
        <v>2520000</v>
      </c>
    </row>
    <row r="199" spans="1:12" ht="85.5" customHeight="1">
      <c r="A199" s="85">
        <v>145</v>
      </c>
      <c r="B199" s="86" t="s">
        <v>237</v>
      </c>
      <c r="C199" s="74" t="s">
        <v>89</v>
      </c>
      <c r="D199" s="75">
        <v>130</v>
      </c>
      <c r="E199" s="84">
        <v>22000</v>
      </c>
      <c r="F199" s="76">
        <f t="shared" si="19"/>
        <v>2860000</v>
      </c>
      <c r="G199" s="77">
        <v>36</v>
      </c>
      <c r="H199" s="81">
        <v>40</v>
      </c>
      <c r="I199" s="77">
        <f t="shared" si="18"/>
        <v>76</v>
      </c>
      <c r="J199" s="77">
        <f t="shared" si="15"/>
        <v>792000</v>
      </c>
      <c r="K199" s="75">
        <f t="shared" si="16"/>
        <v>880000</v>
      </c>
      <c r="L199" s="78">
        <f t="shared" si="17"/>
        <v>1672000</v>
      </c>
    </row>
    <row r="200" spans="1:12">
      <c r="A200" s="85">
        <v>146</v>
      </c>
      <c r="B200" s="86" t="s">
        <v>238</v>
      </c>
      <c r="C200" s="74" t="s">
        <v>89</v>
      </c>
      <c r="D200" s="75">
        <v>325</v>
      </c>
      <c r="E200" s="84">
        <v>24000</v>
      </c>
      <c r="F200" s="76">
        <f t="shared" si="19"/>
        <v>7800000</v>
      </c>
      <c r="G200" s="77">
        <v>14.76</v>
      </c>
      <c r="H200" s="81">
        <v>25</v>
      </c>
      <c r="I200" s="77">
        <f t="shared" si="18"/>
        <v>39.76</v>
      </c>
      <c r="J200" s="77">
        <f t="shared" si="15"/>
        <v>354240</v>
      </c>
      <c r="K200" s="75">
        <f t="shared" si="16"/>
        <v>600000</v>
      </c>
      <c r="L200" s="78">
        <f t="shared" si="17"/>
        <v>954240</v>
      </c>
    </row>
    <row r="201" spans="1:12">
      <c r="A201" s="106" t="s">
        <v>302</v>
      </c>
      <c r="B201" s="107" t="s">
        <v>90</v>
      </c>
      <c r="C201" s="11" t="s">
        <v>89</v>
      </c>
      <c r="D201" s="8">
        <v>5000</v>
      </c>
      <c r="E201" s="6">
        <v>790.07</v>
      </c>
      <c r="F201" s="7">
        <f t="shared" si="19"/>
        <v>3950350.0000000005</v>
      </c>
      <c r="G201" s="46">
        <v>0</v>
      </c>
      <c r="H201" s="80">
        <v>0</v>
      </c>
      <c r="I201" s="46">
        <f t="shared" si="18"/>
        <v>0</v>
      </c>
      <c r="J201" s="46">
        <f t="shared" si="15"/>
        <v>0</v>
      </c>
      <c r="K201" s="8">
        <f t="shared" si="16"/>
        <v>0</v>
      </c>
      <c r="L201" s="60">
        <f t="shared" si="17"/>
        <v>0</v>
      </c>
    </row>
    <row r="202" spans="1:12">
      <c r="A202" s="105">
        <v>147</v>
      </c>
      <c r="B202" s="49" t="s">
        <v>91</v>
      </c>
      <c r="C202" s="11" t="s">
        <v>17</v>
      </c>
      <c r="D202" s="8">
        <v>10</v>
      </c>
      <c r="E202" s="6">
        <v>2200</v>
      </c>
      <c r="F202" s="7">
        <f t="shared" si="19"/>
        <v>22000</v>
      </c>
      <c r="G202" s="46">
        <v>0</v>
      </c>
      <c r="H202" s="80">
        <v>0</v>
      </c>
      <c r="I202" s="46">
        <f t="shared" si="18"/>
        <v>0</v>
      </c>
      <c r="J202" s="46">
        <f t="shared" si="15"/>
        <v>0</v>
      </c>
      <c r="K202" s="8">
        <f t="shared" si="16"/>
        <v>0</v>
      </c>
      <c r="L202" s="60">
        <f t="shared" si="17"/>
        <v>0</v>
      </c>
    </row>
    <row r="203" spans="1:12">
      <c r="A203" s="105">
        <v>148</v>
      </c>
      <c r="B203" s="52" t="s">
        <v>92</v>
      </c>
      <c r="C203" s="11"/>
      <c r="D203" s="8"/>
      <c r="E203" s="6"/>
      <c r="F203" s="7">
        <f t="shared" si="19"/>
        <v>0</v>
      </c>
      <c r="G203" s="46">
        <v>0</v>
      </c>
      <c r="H203" s="80">
        <v>0</v>
      </c>
      <c r="I203" s="46">
        <f t="shared" si="18"/>
        <v>0</v>
      </c>
      <c r="J203" s="46">
        <f t="shared" si="15"/>
        <v>0</v>
      </c>
      <c r="K203" s="8">
        <f t="shared" si="16"/>
        <v>0</v>
      </c>
      <c r="L203" s="60">
        <f t="shared" si="17"/>
        <v>0</v>
      </c>
    </row>
    <row r="204" spans="1:12">
      <c r="A204" s="105">
        <v>149</v>
      </c>
      <c r="B204" s="49" t="s">
        <v>239</v>
      </c>
      <c r="C204" s="11" t="s">
        <v>17</v>
      </c>
      <c r="D204" s="8">
        <v>2</v>
      </c>
      <c r="E204" s="6">
        <v>38400</v>
      </c>
      <c r="F204" s="7">
        <f t="shared" si="19"/>
        <v>76800</v>
      </c>
      <c r="G204" s="46">
        <v>0</v>
      </c>
      <c r="H204" s="80">
        <v>0</v>
      </c>
      <c r="I204" s="46">
        <f t="shared" si="18"/>
        <v>0</v>
      </c>
      <c r="J204" s="46">
        <f t="shared" si="15"/>
        <v>0</v>
      </c>
      <c r="K204" s="8">
        <f t="shared" si="16"/>
        <v>0</v>
      </c>
      <c r="L204" s="60">
        <f t="shared" si="17"/>
        <v>0</v>
      </c>
    </row>
    <row r="205" spans="1:12">
      <c r="A205" s="105">
        <v>150</v>
      </c>
      <c r="B205" s="49" t="s">
        <v>240</v>
      </c>
      <c r="C205" s="11" t="s">
        <v>17</v>
      </c>
      <c r="D205" s="8">
        <v>2</v>
      </c>
      <c r="E205" s="6">
        <v>28000</v>
      </c>
      <c r="F205" s="7">
        <f t="shared" si="19"/>
        <v>56000</v>
      </c>
      <c r="G205" s="46">
        <v>0</v>
      </c>
      <c r="H205" s="80">
        <v>0</v>
      </c>
      <c r="I205" s="46">
        <f t="shared" si="18"/>
        <v>0</v>
      </c>
      <c r="J205" s="46">
        <f t="shared" si="15"/>
        <v>0</v>
      </c>
      <c r="K205" s="8">
        <f t="shared" si="16"/>
        <v>0</v>
      </c>
      <c r="L205" s="60">
        <f t="shared" si="17"/>
        <v>0</v>
      </c>
    </row>
    <row r="206" spans="1:12">
      <c r="A206" s="105">
        <v>151</v>
      </c>
      <c r="B206" s="49" t="s">
        <v>241</v>
      </c>
      <c r="C206" s="11" t="s">
        <v>17</v>
      </c>
      <c r="D206" s="8">
        <v>2</v>
      </c>
      <c r="E206" s="6">
        <v>28000</v>
      </c>
      <c r="F206" s="7">
        <f t="shared" si="19"/>
        <v>56000</v>
      </c>
      <c r="G206" s="46">
        <v>0</v>
      </c>
      <c r="H206" s="80">
        <v>0</v>
      </c>
      <c r="I206" s="46">
        <f t="shared" si="18"/>
        <v>0</v>
      </c>
      <c r="J206" s="46">
        <f t="shared" si="15"/>
        <v>0</v>
      </c>
      <c r="K206" s="8">
        <f t="shared" si="16"/>
        <v>0</v>
      </c>
      <c r="L206" s="60">
        <f t="shared" si="17"/>
        <v>0</v>
      </c>
    </row>
    <row r="207" spans="1:12">
      <c r="A207" s="85">
        <v>152</v>
      </c>
      <c r="B207" s="73" t="s">
        <v>242</v>
      </c>
      <c r="C207" s="74" t="s">
        <v>17</v>
      </c>
      <c r="D207" s="75">
        <v>2</v>
      </c>
      <c r="E207" s="84">
        <v>28000</v>
      </c>
      <c r="F207" s="76">
        <f t="shared" si="19"/>
        <v>56000</v>
      </c>
      <c r="G207" s="77">
        <v>1.5</v>
      </c>
      <c r="H207" s="81">
        <v>0</v>
      </c>
      <c r="I207" s="77">
        <f t="shared" si="18"/>
        <v>1.5</v>
      </c>
      <c r="J207" s="77">
        <f t="shared" si="15"/>
        <v>42000</v>
      </c>
      <c r="K207" s="75">
        <f t="shared" si="16"/>
        <v>0</v>
      </c>
      <c r="L207" s="78">
        <f t="shared" si="17"/>
        <v>42000</v>
      </c>
    </row>
    <row r="208" spans="1:12">
      <c r="A208" s="105">
        <v>153</v>
      </c>
      <c r="B208" s="49" t="s">
        <v>243</v>
      </c>
      <c r="C208" s="11" t="s">
        <v>17</v>
      </c>
      <c r="D208" s="8">
        <v>2</v>
      </c>
      <c r="E208" s="6">
        <v>28000</v>
      </c>
      <c r="F208" s="7">
        <f t="shared" si="19"/>
        <v>56000</v>
      </c>
      <c r="G208" s="46">
        <v>0</v>
      </c>
      <c r="H208" s="80">
        <v>0</v>
      </c>
      <c r="I208" s="46">
        <f t="shared" si="18"/>
        <v>0</v>
      </c>
      <c r="J208" s="46">
        <f t="shared" si="15"/>
        <v>0</v>
      </c>
      <c r="K208" s="8">
        <f t="shared" si="16"/>
        <v>0</v>
      </c>
      <c r="L208" s="60">
        <f t="shared" si="17"/>
        <v>0</v>
      </c>
    </row>
    <row r="209" spans="1:12">
      <c r="A209" s="105">
        <v>154</v>
      </c>
      <c r="B209" s="52" t="s">
        <v>94</v>
      </c>
      <c r="C209" s="9"/>
      <c r="D209" s="59"/>
      <c r="E209" s="6"/>
      <c r="F209" s="7">
        <f t="shared" si="19"/>
        <v>0</v>
      </c>
      <c r="G209" s="46">
        <v>0</v>
      </c>
      <c r="H209" s="80">
        <v>0</v>
      </c>
      <c r="I209" s="46">
        <f t="shared" si="18"/>
        <v>0</v>
      </c>
      <c r="J209" s="46">
        <f t="shared" si="15"/>
        <v>0</v>
      </c>
      <c r="K209" s="8">
        <f t="shared" si="16"/>
        <v>0</v>
      </c>
      <c r="L209" s="60">
        <f t="shared" si="17"/>
        <v>0</v>
      </c>
    </row>
    <row r="210" spans="1:12">
      <c r="A210" s="105">
        <v>155</v>
      </c>
      <c r="B210" s="54" t="s">
        <v>95</v>
      </c>
      <c r="C210" s="5" t="s">
        <v>96</v>
      </c>
      <c r="D210" s="58">
        <v>1000</v>
      </c>
      <c r="E210" s="6">
        <v>200</v>
      </c>
      <c r="F210" s="7">
        <f t="shared" si="19"/>
        <v>200000</v>
      </c>
      <c r="G210" s="46">
        <v>0</v>
      </c>
      <c r="H210" s="80">
        <v>0</v>
      </c>
      <c r="I210" s="46">
        <f t="shared" si="18"/>
        <v>0</v>
      </c>
      <c r="J210" s="46">
        <f t="shared" si="15"/>
        <v>0</v>
      </c>
      <c r="K210" s="8">
        <f t="shared" si="16"/>
        <v>0</v>
      </c>
      <c r="L210" s="60">
        <f t="shared" si="17"/>
        <v>0</v>
      </c>
    </row>
    <row r="211" spans="1:12">
      <c r="A211" s="105">
        <v>156</v>
      </c>
      <c r="B211" s="54" t="s">
        <v>97</v>
      </c>
      <c r="C211" s="5" t="s">
        <v>96</v>
      </c>
      <c r="D211" s="58">
        <v>1500</v>
      </c>
      <c r="E211" s="6">
        <v>250</v>
      </c>
      <c r="F211" s="7">
        <f t="shared" si="19"/>
        <v>375000</v>
      </c>
      <c r="G211" s="46">
        <v>0</v>
      </c>
      <c r="H211" s="80">
        <v>0</v>
      </c>
      <c r="I211" s="46">
        <f t="shared" si="18"/>
        <v>0</v>
      </c>
      <c r="J211" s="46">
        <f t="shared" si="15"/>
        <v>0</v>
      </c>
      <c r="K211" s="8">
        <f t="shared" si="16"/>
        <v>0</v>
      </c>
      <c r="L211" s="60">
        <f t="shared" si="17"/>
        <v>0</v>
      </c>
    </row>
    <row r="212" spans="1:12">
      <c r="A212" s="105">
        <v>157</v>
      </c>
      <c r="B212" s="54" t="s">
        <v>98</v>
      </c>
      <c r="C212" s="5" t="s">
        <v>96</v>
      </c>
      <c r="D212" s="58">
        <v>1500</v>
      </c>
      <c r="E212" s="6">
        <v>400</v>
      </c>
      <c r="F212" s="7">
        <f t="shared" si="19"/>
        <v>600000</v>
      </c>
      <c r="G212" s="46">
        <v>0</v>
      </c>
      <c r="H212" s="80">
        <v>0</v>
      </c>
      <c r="I212" s="46">
        <f t="shared" si="18"/>
        <v>0</v>
      </c>
      <c r="J212" s="46">
        <f t="shared" si="15"/>
        <v>0</v>
      </c>
      <c r="K212" s="8">
        <f t="shared" si="16"/>
        <v>0</v>
      </c>
      <c r="L212" s="60">
        <f t="shared" si="17"/>
        <v>0</v>
      </c>
    </row>
    <row r="213" spans="1:12">
      <c r="A213" s="105">
        <v>158</v>
      </c>
      <c r="B213" s="55" t="s">
        <v>99</v>
      </c>
      <c r="C213" s="11" t="s">
        <v>96</v>
      </c>
      <c r="D213" s="58">
        <v>1500</v>
      </c>
      <c r="E213" s="6">
        <v>450</v>
      </c>
      <c r="F213" s="7">
        <f t="shared" si="19"/>
        <v>675000</v>
      </c>
      <c r="G213" s="46">
        <v>0</v>
      </c>
      <c r="H213" s="80">
        <v>0</v>
      </c>
      <c r="I213" s="46">
        <f t="shared" si="18"/>
        <v>0</v>
      </c>
      <c r="J213" s="46">
        <f t="shared" si="15"/>
        <v>0</v>
      </c>
      <c r="K213" s="8">
        <f t="shared" si="16"/>
        <v>0</v>
      </c>
      <c r="L213" s="60">
        <f t="shared" si="17"/>
        <v>0</v>
      </c>
    </row>
    <row r="214" spans="1:12">
      <c r="A214" s="105">
        <v>159</v>
      </c>
      <c r="B214" s="51" t="s">
        <v>244</v>
      </c>
      <c r="C214" s="11" t="s">
        <v>96</v>
      </c>
      <c r="D214" s="8">
        <v>2000</v>
      </c>
      <c r="E214" s="6">
        <v>250</v>
      </c>
      <c r="F214" s="7">
        <f t="shared" si="19"/>
        <v>500000</v>
      </c>
      <c r="G214" s="46">
        <v>1424</v>
      </c>
      <c r="H214" s="80">
        <v>0</v>
      </c>
      <c r="I214" s="46">
        <f t="shared" si="18"/>
        <v>1424</v>
      </c>
      <c r="J214" s="46">
        <f t="shared" si="15"/>
        <v>356000</v>
      </c>
      <c r="K214" s="8">
        <f t="shared" si="16"/>
        <v>0</v>
      </c>
      <c r="L214" s="60">
        <f t="shared" si="17"/>
        <v>356000</v>
      </c>
    </row>
    <row r="215" spans="1:12" ht="24.75" customHeight="1">
      <c r="A215" s="105">
        <v>160</v>
      </c>
      <c r="B215" s="50" t="s">
        <v>245</v>
      </c>
      <c r="C215" s="5" t="s">
        <v>93</v>
      </c>
      <c r="D215" s="58">
        <v>120</v>
      </c>
      <c r="E215" s="6">
        <v>19350</v>
      </c>
      <c r="F215" s="7">
        <f t="shared" si="19"/>
        <v>2322000</v>
      </c>
      <c r="G215" s="46">
        <v>0</v>
      </c>
      <c r="H215" s="80">
        <v>0</v>
      </c>
      <c r="I215" s="46">
        <f t="shared" si="18"/>
        <v>0</v>
      </c>
      <c r="J215" s="46">
        <f t="shared" si="15"/>
        <v>0</v>
      </c>
      <c r="K215" s="8">
        <f t="shared" si="16"/>
        <v>0</v>
      </c>
      <c r="L215" s="60">
        <f t="shared" si="17"/>
        <v>0</v>
      </c>
    </row>
    <row r="216" spans="1:12" ht="25.5">
      <c r="A216" s="105">
        <v>161</v>
      </c>
      <c r="B216" s="50" t="s">
        <v>246</v>
      </c>
      <c r="C216" s="5"/>
      <c r="D216" s="58"/>
      <c r="E216" s="6"/>
      <c r="F216" s="7">
        <f t="shared" si="19"/>
        <v>0</v>
      </c>
      <c r="G216" s="46">
        <v>0</v>
      </c>
      <c r="H216" s="80">
        <v>0</v>
      </c>
      <c r="I216" s="46">
        <f t="shared" si="18"/>
        <v>0</v>
      </c>
      <c r="J216" s="46">
        <f t="shared" si="15"/>
        <v>0</v>
      </c>
      <c r="K216" s="8">
        <f t="shared" si="16"/>
        <v>0</v>
      </c>
      <c r="L216" s="60">
        <f t="shared" si="17"/>
        <v>0</v>
      </c>
    </row>
    <row r="217" spans="1:12">
      <c r="A217" s="105">
        <v>162</v>
      </c>
      <c r="B217" s="50" t="s">
        <v>247</v>
      </c>
      <c r="C217" s="5" t="s">
        <v>17</v>
      </c>
      <c r="D217" s="58">
        <v>2</v>
      </c>
      <c r="E217" s="6">
        <v>1050</v>
      </c>
      <c r="F217" s="7">
        <v>378000</v>
      </c>
      <c r="G217" s="46">
        <v>0</v>
      </c>
      <c r="H217" s="80">
        <v>0</v>
      </c>
      <c r="I217" s="46">
        <f t="shared" si="18"/>
        <v>0</v>
      </c>
      <c r="J217" s="46">
        <f t="shared" si="15"/>
        <v>0</v>
      </c>
      <c r="K217" s="8">
        <f t="shared" si="16"/>
        <v>0</v>
      </c>
      <c r="L217" s="60">
        <f t="shared" si="17"/>
        <v>0</v>
      </c>
    </row>
    <row r="218" spans="1:12" ht="15.75" thickBot="1">
      <c r="A218" s="105">
        <v>163</v>
      </c>
      <c r="B218" s="56" t="s">
        <v>248</v>
      </c>
      <c r="C218" s="5" t="s">
        <v>17</v>
      </c>
      <c r="D218" s="58">
        <v>1</v>
      </c>
      <c r="E218" s="67">
        <v>1150</v>
      </c>
      <c r="F218" s="7">
        <v>207000</v>
      </c>
      <c r="G218" s="46">
        <v>0</v>
      </c>
      <c r="H218" s="80">
        <v>0</v>
      </c>
      <c r="I218" s="46">
        <f t="shared" si="18"/>
        <v>0</v>
      </c>
      <c r="J218" s="46">
        <f t="shared" si="15"/>
        <v>0</v>
      </c>
      <c r="K218" s="8">
        <f t="shared" si="16"/>
        <v>0</v>
      </c>
      <c r="L218" s="60">
        <f t="shared" si="17"/>
        <v>0</v>
      </c>
    </row>
    <row r="219" spans="1:12" ht="15.75" thickBot="1">
      <c r="A219" s="108"/>
      <c r="B219" s="109" t="s">
        <v>100</v>
      </c>
      <c r="C219" s="110"/>
      <c r="D219" s="111"/>
      <c r="E219" s="112"/>
      <c r="F219" s="113">
        <f t="shared" ref="F219:L219" si="20">SUM(F9:F218)</f>
        <v>105000000</v>
      </c>
      <c r="G219" s="114"/>
      <c r="H219" s="115"/>
      <c r="I219" s="116"/>
      <c r="J219" s="117">
        <f t="shared" si="20"/>
        <v>35922257.200000003</v>
      </c>
      <c r="K219" s="117">
        <f t="shared" si="20"/>
        <v>5988092.7999999998</v>
      </c>
      <c r="L219" s="118">
        <f t="shared" si="20"/>
        <v>41918600</v>
      </c>
    </row>
    <row r="220" spans="1:12">
      <c r="F220" s="57"/>
    </row>
    <row r="221" spans="1:12">
      <c r="F221" s="34"/>
    </row>
  </sheetData>
  <autoFilter ref="A7:M219"/>
  <mergeCells count="15">
    <mergeCell ref="J6:L6"/>
    <mergeCell ref="A6:A7"/>
    <mergeCell ref="B6:B7"/>
    <mergeCell ref="D6:D7"/>
    <mergeCell ref="E6:E7"/>
    <mergeCell ref="F6:F7"/>
    <mergeCell ref="G6:I6"/>
    <mergeCell ref="C6:C7"/>
    <mergeCell ref="B5:L5"/>
    <mergeCell ref="A2:L2"/>
    <mergeCell ref="G3:I3"/>
    <mergeCell ref="K3:L3"/>
    <mergeCell ref="G4:I4"/>
    <mergeCell ref="K4:L4"/>
    <mergeCell ref="D4:F4"/>
  </mergeCells>
  <pageMargins left="0.35433070866141736" right="0.70866141732283472" top="0.36" bottom="0.74803149606299213" header="0.31496062992125984" footer="0.31496062992125984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D9"/>
  <sheetViews>
    <sheetView workbookViewId="0">
      <selection activeCell="B19" sqref="B19"/>
    </sheetView>
  </sheetViews>
  <sheetFormatPr defaultColWidth="8.7109375" defaultRowHeight="15"/>
  <cols>
    <col min="2" max="2" width="34.42578125" customWidth="1"/>
    <col min="3" max="3" width="14.7109375" customWidth="1"/>
    <col min="4" max="4" width="19.28515625" customWidth="1"/>
  </cols>
  <sheetData>
    <row r="1" spans="1:4" ht="26.65" customHeight="1">
      <c r="A1" s="221" t="s">
        <v>319</v>
      </c>
      <c r="B1" s="222"/>
      <c r="C1" s="222"/>
      <c r="D1" s="223"/>
    </row>
    <row r="2" spans="1:4" ht="27.4" customHeight="1">
      <c r="A2" s="122" t="s">
        <v>315</v>
      </c>
      <c r="B2" s="122" t="s">
        <v>316</v>
      </c>
      <c r="C2" s="122" t="s">
        <v>317</v>
      </c>
      <c r="D2" s="122" t="s">
        <v>318</v>
      </c>
    </row>
    <row r="3" spans="1:4">
      <c r="A3" s="121">
        <v>1</v>
      </c>
      <c r="B3" s="120" t="s">
        <v>320</v>
      </c>
      <c r="C3" s="121">
        <v>3296</v>
      </c>
      <c r="D3" s="120"/>
    </row>
    <row r="4" spans="1:4">
      <c r="A4" s="121">
        <v>2</v>
      </c>
      <c r="B4" s="120" t="s">
        <v>321</v>
      </c>
      <c r="C4" s="121">
        <v>1463</v>
      </c>
      <c r="D4" s="120"/>
    </row>
    <row r="5" spans="1:4">
      <c r="A5" s="121">
        <v>3</v>
      </c>
      <c r="B5" s="120" t="s">
        <v>322</v>
      </c>
      <c r="C5" s="121">
        <f>5249+742.84</f>
        <v>5991.84</v>
      </c>
      <c r="D5" s="120"/>
    </row>
    <row r="6" spans="1:4">
      <c r="A6" s="121">
        <v>4</v>
      </c>
      <c r="B6" s="120" t="s">
        <v>323</v>
      </c>
      <c r="C6" s="121">
        <f>0.234</f>
        <v>0.23400000000000001</v>
      </c>
      <c r="D6" s="120"/>
    </row>
    <row r="7" spans="1:4">
      <c r="A7" s="121">
        <v>5</v>
      </c>
      <c r="B7" s="120" t="s">
        <v>324</v>
      </c>
      <c r="C7" s="121">
        <v>1840</v>
      </c>
      <c r="D7" s="120"/>
    </row>
    <row r="8" spans="1:4">
      <c r="A8" s="121">
        <v>6</v>
      </c>
      <c r="B8" s="120" t="s">
        <v>325</v>
      </c>
      <c r="C8" s="121">
        <v>1485</v>
      </c>
      <c r="D8" s="120"/>
    </row>
    <row r="9" spans="1:4" ht="15.75">
      <c r="A9" s="121"/>
      <c r="B9" s="120"/>
      <c r="C9" s="123">
        <f>SUM(C3:C8)</f>
        <v>14076.074000000001</v>
      </c>
      <c r="D9" s="120"/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G18"/>
  <sheetViews>
    <sheetView workbookViewId="0">
      <selection activeCell="B15" sqref="B15"/>
    </sheetView>
  </sheetViews>
  <sheetFormatPr defaultColWidth="8.7109375" defaultRowHeight="15"/>
  <cols>
    <col min="1" max="1" width="8.7109375" customWidth="1"/>
    <col min="2" max="2" width="45.28515625" customWidth="1"/>
    <col min="3" max="3" width="15.28515625" customWidth="1"/>
    <col min="4" max="4" width="9.7109375" customWidth="1"/>
    <col min="5" max="5" width="12.140625" customWidth="1"/>
    <col min="6" max="6" width="11.140625" customWidth="1"/>
    <col min="7" max="7" width="11.42578125" customWidth="1"/>
  </cols>
  <sheetData>
    <row r="1" spans="1:7" ht="47.65" customHeight="1">
      <c r="A1" s="224" t="s">
        <v>331</v>
      </c>
      <c r="B1" s="224"/>
      <c r="C1" s="224"/>
      <c r="D1" s="224"/>
      <c r="E1" s="224"/>
      <c r="F1" s="224"/>
      <c r="G1" s="224"/>
    </row>
    <row r="2" spans="1:7" ht="24.4" customHeight="1">
      <c r="A2" s="124" t="s">
        <v>315</v>
      </c>
      <c r="B2" s="124" t="s">
        <v>7</v>
      </c>
      <c r="C2" s="124" t="s">
        <v>326</v>
      </c>
      <c r="D2" s="124" t="s">
        <v>327</v>
      </c>
      <c r="E2" s="124" t="s">
        <v>328</v>
      </c>
      <c r="F2" s="124" t="s">
        <v>329</v>
      </c>
      <c r="G2" s="124" t="s">
        <v>330</v>
      </c>
    </row>
    <row r="3" spans="1:7">
      <c r="A3" s="121">
        <v>1</v>
      </c>
      <c r="B3" s="120" t="s">
        <v>347</v>
      </c>
      <c r="C3" s="120"/>
      <c r="D3" s="121">
        <v>1</v>
      </c>
      <c r="E3" s="121">
        <v>1</v>
      </c>
      <c r="F3" s="121">
        <v>1</v>
      </c>
      <c r="G3" s="121">
        <v>2</v>
      </c>
    </row>
    <row r="4" spans="1:7">
      <c r="A4" s="121">
        <v>2</v>
      </c>
      <c r="B4" s="120" t="s">
        <v>347</v>
      </c>
      <c r="C4" s="120"/>
      <c r="D4" s="121">
        <v>1</v>
      </c>
      <c r="E4" s="121">
        <v>1</v>
      </c>
      <c r="F4" s="121">
        <v>1</v>
      </c>
      <c r="G4" s="121">
        <v>2</v>
      </c>
    </row>
    <row r="5" spans="1:7">
      <c r="A5" s="121">
        <v>3</v>
      </c>
      <c r="B5" s="120" t="s">
        <v>347</v>
      </c>
      <c r="C5" s="120"/>
      <c r="D5" s="121">
        <v>1</v>
      </c>
      <c r="E5" s="121">
        <v>1</v>
      </c>
      <c r="F5" s="121">
        <v>1</v>
      </c>
      <c r="G5" s="121">
        <v>2</v>
      </c>
    </row>
    <row r="6" spans="1:7">
      <c r="A6" s="121">
        <v>4</v>
      </c>
      <c r="B6" s="120" t="s">
        <v>349</v>
      </c>
      <c r="C6" s="120"/>
      <c r="D6" s="121">
        <v>0</v>
      </c>
      <c r="E6" s="121">
        <v>1</v>
      </c>
      <c r="F6" s="121">
        <v>0</v>
      </c>
      <c r="G6" s="121">
        <v>1</v>
      </c>
    </row>
    <row r="7" spans="1:7">
      <c r="A7" s="121">
        <v>5</v>
      </c>
      <c r="B7" s="120" t="s">
        <v>349</v>
      </c>
      <c r="C7" s="120"/>
      <c r="D7" s="121">
        <v>0</v>
      </c>
      <c r="E7" s="121">
        <v>1</v>
      </c>
      <c r="F7" s="121">
        <v>0</v>
      </c>
      <c r="G7" s="121">
        <v>1</v>
      </c>
    </row>
    <row r="8" spans="1:7">
      <c r="A8" s="121">
        <v>6</v>
      </c>
      <c r="B8" s="120" t="s">
        <v>349</v>
      </c>
      <c r="C8" s="120"/>
      <c r="D8" s="121">
        <v>0</v>
      </c>
      <c r="E8" s="121">
        <v>1</v>
      </c>
      <c r="F8" s="121">
        <v>0</v>
      </c>
      <c r="G8" s="121">
        <v>1</v>
      </c>
    </row>
    <row r="9" spans="1:7">
      <c r="A9" s="121">
        <v>7</v>
      </c>
      <c r="B9" s="120" t="s">
        <v>347</v>
      </c>
      <c r="C9" s="120"/>
      <c r="D9" s="121">
        <v>1</v>
      </c>
      <c r="E9" s="121">
        <v>1</v>
      </c>
      <c r="F9" s="121">
        <v>1</v>
      </c>
      <c r="G9" s="121">
        <v>2</v>
      </c>
    </row>
    <row r="10" spans="1:7">
      <c r="A10" s="121">
        <v>8</v>
      </c>
      <c r="B10" s="120" t="s">
        <v>348</v>
      </c>
      <c r="C10" s="120"/>
      <c r="D10" s="121">
        <v>1</v>
      </c>
      <c r="E10" s="121">
        <v>1</v>
      </c>
      <c r="F10" s="121">
        <v>1</v>
      </c>
      <c r="G10" s="121">
        <v>2</v>
      </c>
    </row>
    <row r="11" spans="1:7">
      <c r="A11" s="121">
        <v>9</v>
      </c>
      <c r="B11" s="120" t="s">
        <v>348</v>
      </c>
      <c r="C11" s="120"/>
      <c r="D11" s="121">
        <v>1</v>
      </c>
      <c r="E11" s="121">
        <v>1</v>
      </c>
      <c r="F11" s="121">
        <v>1</v>
      </c>
      <c r="G11" s="121">
        <v>2</v>
      </c>
    </row>
    <row r="12" spans="1:7" ht="18.75">
      <c r="D12" s="128">
        <f>SUM(D3:D11)</f>
        <v>6</v>
      </c>
      <c r="E12" s="128">
        <f>SUM(E3:E11)</f>
        <v>9</v>
      </c>
      <c r="F12" s="128">
        <f>SUM(F3:F11)</f>
        <v>6</v>
      </c>
      <c r="G12" s="128">
        <f>SUM(G3:G11)</f>
        <v>15</v>
      </c>
    </row>
    <row r="18" spans="2:7">
      <c r="B18" s="225" t="s">
        <v>428</v>
      </c>
      <c r="C18" s="225"/>
      <c r="D18" s="225"/>
      <c r="E18" s="225"/>
      <c r="F18" s="225"/>
      <c r="G18" s="225"/>
    </row>
  </sheetData>
  <mergeCells count="2">
    <mergeCell ref="A1:G1"/>
    <mergeCell ref="B18:G18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E19"/>
  <sheetViews>
    <sheetView workbookViewId="0">
      <selection activeCell="B11" sqref="B11"/>
    </sheetView>
  </sheetViews>
  <sheetFormatPr defaultColWidth="8.7109375" defaultRowHeight="15"/>
  <cols>
    <col min="1" max="1" width="8.7109375" customWidth="1"/>
    <col min="2" max="2" width="30.140625" customWidth="1"/>
    <col min="3" max="3" width="48.28515625" customWidth="1"/>
    <col min="4" max="4" width="19.140625" customWidth="1"/>
    <col min="5" max="5" width="21.7109375" customWidth="1"/>
  </cols>
  <sheetData>
    <row r="1" spans="1:5">
      <c r="A1" s="231" t="s">
        <v>350</v>
      </c>
      <c r="B1" s="231"/>
      <c r="C1" s="231"/>
      <c r="D1" s="231"/>
      <c r="E1" s="231"/>
    </row>
    <row r="2" spans="1:5">
      <c r="A2" s="231"/>
      <c r="B2" s="231"/>
      <c r="C2" s="231"/>
      <c r="D2" s="231"/>
      <c r="E2" s="231"/>
    </row>
    <row r="3" spans="1:5">
      <c r="A3" s="122" t="s">
        <v>315</v>
      </c>
      <c r="B3" s="122" t="s">
        <v>316</v>
      </c>
      <c r="C3" s="122" t="s">
        <v>7</v>
      </c>
      <c r="D3" s="122" t="s">
        <v>317</v>
      </c>
      <c r="E3" s="122" t="s">
        <v>318</v>
      </c>
    </row>
    <row r="4" spans="1:5" ht="30" customHeight="1">
      <c r="A4" s="121">
        <v>1</v>
      </c>
      <c r="B4" s="120" t="s">
        <v>332</v>
      </c>
      <c r="C4" s="120" t="s">
        <v>333</v>
      </c>
      <c r="D4" s="126">
        <v>14314.5</v>
      </c>
      <c r="E4" s="226" t="s">
        <v>342</v>
      </c>
    </row>
    <row r="5" spans="1:5" ht="30" customHeight="1">
      <c r="A5" s="121">
        <v>2</v>
      </c>
      <c r="B5" s="120" t="s">
        <v>334</v>
      </c>
      <c r="C5" s="120" t="s">
        <v>335</v>
      </c>
      <c r="D5" s="126">
        <v>14314.5</v>
      </c>
      <c r="E5" s="227"/>
    </row>
    <row r="6" spans="1:5" ht="30" customHeight="1">
      <c r="A6" s="121">
        <v>3</v>
      </c>
      <c r="B6" s="120" t="s">
        <v>336</v>
      </c>
      <c r="C6" s="121" t="s">
        <v>337</v>
      </c>
      <c r="D6" s="126">
        <v>12800</v>
      </c>
      <c r="E6" s="120"/>
    </row>
    <row r="7" spans="1:5" ht="30" customHeight="1">
      <c r="A7" s="121">
        <v>4</v>
      </c>
      <c r="B7" s="120" t="s">
        <v>338</v>
      </c>
      <c r="C7" s="121" t="s">
        <v>339</v>
      </c>
      <c r="D7" s="126">
        <v>7709.3</v>
      </c>
      <c r="E7" s="120"/>
    </row>
    <row r="8" spans="1:5" ht="30" customHeight="1">
      <c r="A8" s="121">
        <v>5</v>
      </c>
      <c r="B8" s="120" t="s">
        <v>338</v>
      </c>
      <c r="C8" s="121" t="s">
        <v>340</v>
      </c>
      <c r="D8" s="126">
        <v>7709.3</v>
      </c>
      <c r="E8" s="120"/>
    </row>
    <row r="9" spans="1:5" ht="30" customHeight="1">
      <c r="A9" s="121">
        <v>6</v>
      </c>
      <c r="B9" s="120" t="s">
        <v>338</v>
      </c>
      <c r="C9" s="121" t="s">
        <v>341</v>
      </c>
      <c r="D9" s="126">
        <v>7709.3</v>
      </c>
      <c r="E9" s="120"/>
    </row>
    <row r="10" spans="1:5" ht="30" customHeight="1">
      <c r="A10" s="156">
        <v>7</v>
      </c>
      <c r="B10" s="120" t="s">
        <v>338</v>
      </c>
      <c r="C10" s="121" t="s">
        <v>445</v>
      </c>
      <c r="D10" s="126">
        <v>7709.3</v>
      </c>
      <c r="E10" s="120"/>
    </row>
    <row r="11" spans="1:5" ht="30" customHeight="1">
      <c r="A11" s="156">
        <v>8</v>
      </c>
      <c r="B11" s="120"/>
      <c r="C11" s="121" t="s">
        <v>446</v>
      </c>
      <c r="D11" s="126">
        <v>10000</v>
      </c>
      <c r="E11" s="120"/>
    </row>
    <row r="12" spans="1:5" ht="18.75">
      <c r="A12" s="228"/>
      <c r="B12" s="229"/>
      <c r="C12" s="230"/>
      <c r="D12" s="127">
        <f>SUM(D4:D11)</f>
        <v>82266.200000000012</v>
      </c>
      <c r="E12" s="120"/>
    </row>
    <row r="16" spans="1:5">
      <c r="C16" s="120" t="s">
        <v>343</v>
      </c>
      <c r="D16" s="120">
        <v>16000</v>
      </c>
    </row>
    <row r="17" spans="3:4">
      <c r="C17" s="120" t="s">
        <v>344</v>
      </c>
      <c r="D17" s="120">
        <v>20000</v>
      </c>
    </row>
    <row r="18" spans="3:4" ht="18.75">
      <c r="C18" s="120" t="s">
        <v>345</v>
      </c>
      <c r="D18" s="125">
        <f>SUM(D16:D17)</f>
        <v>36000</v>
      </c>
    </row>
    <row r="19" spans="3:4" ht="18.75">
      <c r="C19" s="125" t="s">
        <v>346</v>
      </c>
      <c r="D19" s="125">
        <f>D12-D18</f>
        <v>46266.200000000012</v>
      </c>
    </row>
  </sheetData>
  <mergeCells count="3">
    <mergeCell ref="E4:E5"/>
    <mergeCell ref="A12:C12"/>
    <mergeCell ref="A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2:J67"/>
  <sheetViews>
    <sheetView zoomScale="126" zoomScaleNormal="126" workbookViewId="0">
      <selection activeCell="H20" sqref="H20"/>
    </sheetView>
  </sheetViews>
  <sheetFormatPr defaultColWidth="8.7109375" defaultRowHeight="15"/>
  <cols>
    <col min="1" max="1" width="5.140625" style="133" bestFit="1" customWidth="1"/>
    <col min="2" max="2" width="23.42578125" style="138" bestFit="1" customWidth="1"/>
    <col min="3" max="3" width="19.7109375" style="142" bestFit="1" customWidth="1"/>
    <col min="4" max="4" width="4" style="142" bestFit="1" customWidth="1"/>
    <col min="5" max="5" width="10.7109375" style="143" bestFit="1" customWidth="1"/>
    <col min="6" max="6" width="11.7109375" style="140" customWidth="1"/>
    <col min="7" max="7" width="12.28515625" bestFit="1" customWidth="1"/>
    <col min="8" max="9" width="8.7109375" customWidth="1"/>
    <col min="10" max="10" width="18.140625" customWidth="1"/>
  </cols>
  <sheetData>
    <row r="2" spans="1:10" s="147" customFormat="1" ht="18.75">
      <c r="A2" s="235" t="s">
        <v>437</v>
      </c>
      <c r="B2" s="235"/>
      <c r="C2" s="235"/>
      <c r="D2" s="235"/>
      <c r="E2" s="235"/>
      <c r="F2" s="235"/>
      <c r="G2" s="235"/>
    </row>
    <row r="3" spans="1:10" s="130" customFormat="1" ht="45">
      <c r="A3" s="122" t="s">
        <v>353</v>
      </c>
      <c r="B3" s="141" t="s">
        <v>352</v>
      </c>
      <c r="C3" s="146" t="s">
        <v>407</v>
      </c>
      <c r="D3" s="141" t="s">
        <v>351</v>
      </c>
      <c r="E3" s="141" t="s">
        <v>354</v>
      </c>
      <c r="F3" s="139" t="s">
        <v>355</v>
      </c>
      <c r="G3" s="122" t="s">
        <v>384</v>
      </c>
    </row>
    <row r="4" spans="1:10">
      <c r="A4" s="129">
        <v>1</v>
      </c>
      <c r="B4" s="136" t="s">
        <v>322</v>
      </c>
      <c r="C4" s="137" t="s">
        <v>356</v>
      </c>
      <c r="D4" s="137">
        <v>6</v>
      </c>
      <c r="E4" s="134">
        <v>4.18</v>
      </c>
      <c r="F4" s="131">
        <f t="shared" ref="F4:F50" si="0">D4*E4</f>
        <v>25.08</v>
      </c>
      <c r="G4" s="149"/>
    </row>
    <row r="5" spans="1:10">
      <c r="A5" s="129">
        <v>2</v>
      </c>
      <c r="B5" s="136" t="s">
        <v>322</v>
      </c>
      <c r="C5" s="137" t="s">
        <v>357</v>
      </c>
      <c r="D5" s="137">
        <v>18</v>
      </c>
      <c r="E5" s="134">
        <v>10.029999999999999</v>
      </c>
      <c r="F5" s="131">
        <f t="shared" si="0"/>
        <v>180.54</v>
      </c>
      <c r="G5" s="149"/>
    </row>
    <row r="6" spans="1:10">
      <c r="A6" s="129">
        <v>3</v>
      </c>
      <c r="B6" s="136" t="s">
        <v>322</v>
      </c>
      <c r="C6" s="137" t="s">
        <v>358</v>
      </c>
      <c r="D6" s="137">
        <v>18</v>
      </c>
      <c r="E6" s="134">
        <v>10.029999999999999</v>
      </c>
      <c r="F6" s="131">
        <f t="shared" si="0"/>
        <v>180.54</v>
      </c>
      <c r="G6" s="149"/>
    </row>
    <row r="7" spans="1:10">
      <c r="A7" s="129">
        <v>4</v>
      </c>
      <c r="B7" s="136" t="s">
        <v>322</v>
      </c>
      <c r="C7" s="137" t="s">
        <v>359</v>
      </c>
      <c r="D7" s="137">
        <v>18</v>
      </c>
      <c r="E7" s="134">
        <v>10.029999999999999</v>
      </c>
      <c r="F7" s="131">
        <f t="shared" si="0"/>
        <v>180.54</v>
      </c>
      <c r="G7" s="149"/>
    </row>
    <row r="8" spans="1:10">
      <c r="A8" s="129">
        <v>5</v>
      </c>
      <c r="B8" s="136" t="s">
        <v>322</v>
      </c>
      <c r="C8" s="137" t="s">
        <v>360</v>
      </c>
      <c r="D8" s="137">
        <v>18</v>
      </c>
      <c r="E8" s="134">
        <v>10.029999999999999</v>
      </c>
      <c r="F8" s="131">
        <f t="shared" si="0"/>
        <v>180.54</v>
      </c>
      <c r="G8" s="149"/>
    </row>
    <row r="9" spans="1:10">
      <c r="A9" s="129">
        <v>6</v>
      </c>
      <c r="B9" s="136" t="s">
        <v>322</v>
      </c>
      <c r="C9" s="137" t="s">
        <v>361</v>
      </c>
      <c r="D9" s="137">
        <v>18</v>
      </c>
      <c r="E9" s="134">
        <v>26.68</v>
      </c>
      <c r="F9" s="153">
        <f t="shared" si="0"/>
        <v>480.24</v>
      </c>
      <c r="G9" s="149"/>
    </row>
    <row r="10" spans="1:10">
      <c r="A10" s="129">
        <v>7</v>
      </c>
      <c r="B10" s="136" t="s">
        <v>322</v>
      </c>
      <c r="C10" s="137" t="s">
        <v>362</v>
      </c>
      <c r="D10" s="137">
        <v>18</v>
      </c>
      <c r="E10" s="134">
        <v>26.68</v>
      </c>
      <c r="F10" s="153">
        <f t="shared" si="0"/>
        <v>480.24</v>
      </c>
      <c r="G10" s="149"/>
    </row>
    <row r="11" spans="1:10">
      <c r="A11" s="129">
        <v>8</v>
      </c>
      <c r="B11" s="136" t="s">
        <v>322</v>
      </c>
      <c r="C11" s="137" t="s">
        <v>363</v>
      </c>
      <c r="D11" s="137">
        <v>18</v>
      </c>
      <c r="E11" s="134">
        <v>20.81</v>
      </c>
      <c r="F11" s="131">
        <f t="shared" si="0"/>
        <v>374.58</v>
      </c>
      <c r="G11" s="149"/>
    </row>
    <row r="12" spans="1:10">
      <c r="A12" s="129">
        <v>9</v>
      </c>
      <c r="B12" s="136" t="s">
        <v>322</v>
      </c>
      <c r="C12" s="137" t="s">
        <v>364</v>
      </c>
      <c r="D12" s="137">
        <v>18</v>
      </c>
      <c r="E12" s="134">
        <v>20.81</v>
      </c>
      <c r="F12" s="131">
        <f t="shared" si="0"/>
        <v>374.58</v>
      </c>
      <c r="G12" s="149"/>
    </row>
    <row r="13" spans="1:10">
      <c r="A13" s="129">
        <v>10</v>
      </c>
      <c r="B13" s="136" t="s">
        <v>322</v>
      </c>
      <c r="C13" s="137" t="s">
        <v>365</v>
      </c>
      <c r="D13" s="137">
        <v>18</v>
      </c>
      <c r="E13" s="134">
        <v>9.15</v>
      </c>
      <c r="F13" s="153">
        <f t="shared" si="0"/>
        <v>164.70000000000002</v>
      </c>
      <c r="G13" s="149"/>
      <c r="I13" s="148"/>
      <c r="J13" s="120" t="s">
        <v>425</v>
      </c>
    </row>
    <row r="14" spans="1:10">
      <c r="A14" s="129">
        <v>11</v>
      </c>
      <c r="B14" s="136" t="s">
        <v>322</v>
      </c>
      <c r="C14" s="137" t="s">
        <v>366</v>
      </c>
      <c r="D14" s="137">
        <v>18</v>
      </c>
      <c r="E14" s="134">
        <v>9.15</v>
      </c>
      <c r="F14" s="153">
        <f t="shared" si="0"/>
        <v>164.70000000000002</v>
      </c>
      <c r="G14" s="149"/>
      <c r="I14" s="132"/>
      <c r="J14" s="120" t="s">
        <v>426</v>
      </c>
    </row>
    <row r="15" spans="1:10" s="138" customFormat="1">
      <c r="A15" s="135">
        <v>12</v>
      </c>
      <c r="B15" s="136" t="s">
        <v>322</v>
      </c>
      <c r="C15" s="137" t="s">
        <v>367</v>
      </c>
      <c r="D15" s="137">
        <v>18</v>
      </c>
      <c r="E15" s="134">
        <v>11.7</v>
      </c>
      <c r="F15" s="153">
        <f t="shared" si="0"/>
        <v>210.6</v>
      </c>
      <c r="G15" s="149"/>
    </row>
    <row r="16" spans="1:10" s="138" customFormat="1">
      <c r="A16" s="135">
        <v>13</v>
      </c>
      <c r="B16" s="136" t="s">
        <v>322</v>
      </c>
      <c r="C16" s="137" t="s">
        <v>368</v>
      </c>
      <c r="D16" s="137">
        <v>18</v>
      </c>
      <c r="E16" s="134">
        <v>11.7</v>
      </c>
      <c r="F16" s="153">
        <f t="shared" si="0"/>
        <v>210.6</v>
      </c>
      <c r="G16" s="149"/>
    </row>
    <row r="17" spans="1:7" s="138" customFormat="1">
      <c r="A17" s="135">
        <v>14</v>
      </c>
      <c r="B17" s="136" t="s">
        <v>322</v>
      </c>
      <c r="C17" s="137" t="s">
        <v>369</v>
      </c>
      <c r="D17" s="137">
        <v>18</v>
      </c>
      <c r="E17" s="134">
        <v>32.75</v>
      </c>
      <c r="F17" s="153">
        <f t="shared" si="0"/>
        <v>589.5</v>
      </c>
      <c r="G17" s="149"/>
    </row>
    <row r="18" spans="1:7" s="138" customFormat="1">
      <c r="A18" s="135">
        <v>15</v>
      </c>
      <c r="B18" s="136" t="s">
        <v>322</v>
      </c>
      <c r="C18" s="137" t="s">
        <v>370</v>
      </c>
      <c r="D18" s="137">
        <v>18</v>
      </c>
      <c r="E18" s="134">
        <v>32.75</v>
      </c>
      <c r="F18" s="153">
        <f t="shared" si="0"/>
        <v>589.5</v>
      </c>
      <c r="G18" s="149"/>
    </row>
    <row r="19" spans="1:7">
      <c r="A19" s="129">
        <v>16</v>
      </c>
      <c r="B19" s="136" t="s">
        <v>322</v>
      </c>
      <c r="C19" s="137" t="s">
        <v>371</v>
      </c>
      <c r="D19" s="137">
        <v>9</v>
      </c>
      <c r="E19" s="134">
        <v>19.63</v>
      </c>
      <c r="F19" s="153">
        <f t="shared" si="0"/>
        <v>176.67</v>
      </c>
      <c r="G19" s="149"/>
    </row>
    <row r="20" spans="1:7">
      <c r="A20" s="129">
        <v>17</v>
      </c>
      <c r="B20" s="136" t="s">
        <v>322</v>
      </c>
      <c r="C20" s="137" t="s">
        <v>372</v>
      </c>
      <c r="D20" s="137">
        <v>9</v>
      </c>
      <c r="E20" s="134">
        <v>14.22</v>
      </c>
      <c r="F20" s="153">
        <f t="shared" si="0"/>
        <v>127.98</v>
      </c>
      <c r="G20" s="149"/>
    </row>
    <row r="21" spans="1:7">
      <c r="A21" s="129">
        <v>18</v>
      </c>
      <c r="B21" s="136" t="s">
        <v>322</v>
      </c>
      <c r="C21" s="137" t="s">
        <v>373</v>
      </c>
      <c r="D21" s="137">
        <v>18</v>
      </c>
      <c r="E21" s="134">
        <v>21.64</v>
      </c>
      <c r="F21" s="153">
        <f t="shared" si="0"/>
        <v>389.52</v>
      </c>
      <c r="G21" s="149"/>
    </row>
    <row r="22" spans="1:7">
      <c r="A22" s="129">
        <v>19</v>
      </c>
      <c r="B22" s="136" t="s">
        <v>322</v>
      </c>
      <c r="C22" s="137" t="s">
        <v>374</v>
      </c>
      <c r="D22" s="137">
        <v>9</v>
      </c>
      <c r="E22" s="134">
        <v>21.56</v>
      </c>
      <c r="F22" s="131">
        <f t="shared" si="0"/>
        <v>194.04</v>
      </c>
      <c r="G22" s="150" t="s">
        <v>382</v>
      </c>
    </row>
    <row r="23" spans="1:7">
      <c r="A23" s="129">
        <v>20</v>
      </c>
      <c r="B23" s="136" t="s">
        <v>322</v>
      </c>
      <c r="C23" s="137" t="s">
        <v>375</v>
      </c>
      <c r="D23" s="137">
        <v>9</v>
      </c>
      <c r="E23" s="134">
        <v>21.56</v>
      </c>
      <c r="F23" s="131">
        <f t="shared" si="0"/>
        <v>194.04</v>
      </c>
      <c r="G23" s="150" t="s">
        <v>383</v>
      </c>
    </row>
    <row r="24" spans="1:7">
      <c r="A24" s="129">
        <v>21</v>
      </c>
      <c r="B24" s="136" t="s">
        <v>322</v>
      </c>
      <c r="C24" s="137" t="s">
        <v>376</v>
      </c>
      <c r="D24" s="137">
        <v>9</v>
      </c>
      <c r="E24" s="134">
        <v>19.63</v>
      </c>
      <c r="F24" s="131">
        <f t="shared" si="0"/>
        <v>176.67</v>
      </c>
      <c r="G24" s="150" t="s">
        <v>382</v>
      </c>
    </row>
    <row r="25" spans="1:7">
      <c r="A25" s="129">
        <v>22</v>
      </c>
      <c r="B25" s="136" t="s">
        <v>322</v>
      </c>
      <c r="C25" s="137" t="s">
        <v>377</v>
      </c>
      <c r="D25" s="137">
        <v>9</v>
      </c>
      <c r="E25" s="134">
        <v>19.63</v>
      </c>
      <c r="F25" s="131">
        <f t="shared" si="0"/>
        <v>176.67</v>
      </c>
      <c r="G25" s="150" t="s">
        <v>383</v>
      </c>
    </row>
    <row r="26" spans="1:7">
      <c r="A26" s="129">
        <v>23</v>
      </c>
      <c r="B26" s="136" t="s">
        <v>322</v>
      </c>
      <c r="C26" s="137" t="s">
        <v>378</v>
      </c>
      <c r="D26" s="137">
        <v>9</v>
      </c>
      <c r="E26" s="134">
        <v>19.63</v>
      </c>
      <c r="F26" s="131">
        <f t="shared" si="0"/>
        <v>176.67</v>
      </c>
      <c r="G26" s="150" t="s">
        <v>382</v>
      </c>
    </row>
    <row r="27" spans="1:7">
      <c r="A27" s="129">
        <v>24</v>
      </c>
      <c r="B27" s="136" t="s">
        <v>322</v>
      </c>
      <c r="C27" s="137" t="s">
        <v>379</v>
      </c>
      <c r="D27" s="137">
        <v>9</v>
      </c>
      <c r="E27" s="134">
        <v>19.63</v>
      </c>
      <c r="F27" s="131">
        <f t="shared" si="0"/>
        <v>176.67</v>
      </c>
      <c r="G27" s="150" t="s">
        <v>383</v>
      </c>
    </row>
    <row r="28" spans="1:7">
      <c r="A28" s="129">
        <v>25</v>
      </c>
      <c r="B28" s="136" t="s">
        <v>322</v>
      </c>
      <c r="C28" s="137" t="s">
        <v>380</v>
      </c>
      <c r="D28" s="137">
        <v>9</v>
      </c>
      <c r="E28" s="134">
        <v>19.63</v>
      </c>
      <c r="F28" s="131">
        <f t="shared" si="0"/>
        <v>176.67</v>
      </c>
      <c r="G28" s="150" t="s">
        <v>382</v>
      </c>
    </row>
    <row r="29" spans="1:7">
      <c r="A29" s="129">
        <v>26</v>
      </c>
      <c r="B29" s="136" t="s">
        <v>322</v>
      </c>
      <c r="C29" s="137" t="s">
        <v>381</v>
      </c>
      <c r="D29" s="137">
        <v>9</v>
      </c>
      <c r="E29" s="134">
        <v>19.63</v>
      </c>
      <c r="F29" s="131">
        <f t="shared" si="0"/>
        <v>176.67</v>
      </c>
      <c r="G29" s="150" t="s">
        <v>383</v>
      </c>
    </row>
    <row r="30" spans="1:7">
      <c r="A30" s="129">
        <v>27</v>
      </c>
      <c r="B30" s="136" t="s">
        <v>322</v>
      </c>
      <c r="C30" s="137" t="s">
        <v>417</v>
      </c>
      <c r="D30" s="137">
        <v>9</v>
      </c>
      <c r="E30" s="134">
        <v>20.81</v>
      </c>
      <c r="F30" s="153">
        <f t="shared" si="0"/>
        <v>187.29</v>
      </c>
      <c r="G30" s="150"/>
    </row>
    <row r="31" spans="1:7">
      <c r="A31" s="129">
        <v>28</v>
      </c>
      <c r="B31" s="136" t="s">
        <v>322</v>
      </c>
      <c r="C31" s="137" t="s">
        <v>418</v>
      </c>
      <c r="D31" s="137">
        <v>9</v>
      </c>
      <c r="E31" s="134">
        <v>20.81</v>
      </c>
      <c r="F31" s="153">
        <f t="shared" si="0"/>
        <v>187.29</v>
      </c>
      <c r="G31" s="150"/>
    </row>
    <row r="32" spans="1:7">
      <c r="A32" s="129">
        <v>29</v>
      </c>
      <c r="B32" s="136" t="s">
        <v>324</v>
      </c>
      <c r="C32" s="137" t="s">
        <v>385</v>
      </c>
      <c r="D32" s="137">
        <v>2</v>
      </c>
      <c r="E32" s="134">
        <v>33.479999999999997</v>
      </c>
      <c r="F32" s="153">
        <f t="shared" si="0"/>
        <v>66.959999999999994</v>
      </c>
      <c r="G32" s="149"/>
    </row>
    <row r="33" spans="1:7">
      <c r="A33" s="129">
        <v>30</v>
      </c>
      <c r="B33" s="136" t="s">
        <v>324</v>
      </c>
      <c r="C33" s="137" t="s">
        <v>386</v>
      </c>
      <c r="D33" s="137">
        <v>2</v>
      </c>
      <c r="E33" s="134">
        <v>33.479999999999997</v>
      </c>
      <c r="F33" s="153">
        <f t="shared" si="0"/>
        <v>66.959999999999994</v>
      </c>
      <c r="G33" s="149"/>
    </row>
    <row r="34" spans="1:7">
      <c r="A34" s="129">
        <v>31</v>
      </c>
      <c r="B34" s="136" t="s">
        <v>324</v>
      </c>
      <c r="C34" s="137" t="s">
        <v>387</v>
      </c>
      <c r="D34" s="137">
        <v>1</v>
      </c>
      <c r="E34" s="134">
        <v>26.38</v>
      </c>
      <c r="F34" s="153">
        <f t="shared" si="0"/>
        <v>26.38</v>
      </c>
      <c r="G34" s="149"/>
    </row>
    <row r="35" spans="1:7">
      <c r="A35" s="129">
        <v>32</v>
      </c>
      <c r="B35" s="136" t="s">
        <v>324</v>
      </c>
      <c r="C35" s="137" t="s">
        <v>388</v>
      </c>
      <c r="D35" s="137">
        <v>2</v>
      </c>
      <c r="E35" s="134">
        <v>34.450000000000003</v>
      </c>
      <c r="F35" s="153">
        <f t="shared" si="0"/>
        <v>68.900000000000006</v>
      </c>
      <c r="G35" s="149"/>
    </row>
    <row r="36" spans="1:7">
      <c r="A36" s="129">
        <v>33</v>
      </c>
      <c r="B36" s="136" t="s">
        <v>324</v>
      </c>
      <c r="C36" s="137" t="s">
        <v>389</v>
      </c>
      <c r="D36" s="137">
        <v>1</v>
      </c>
      <c r="E36" s="134">
        <v>6.66</v>
      </c>
      <c r="F36" s="153">
        <f t="shared" si="0"/>
        <v>6.66</v>
      </c>
      <c r="G36" s="149"/>
    </row>
    <row r="37" spans="1:7">
      <c r="A37" s="129">
        <v>34</v>
      </c>
      <c r="B37" s="136" t="s">
        <v>324</v>
      </c>
      <c r="C37" s="137" t="s">
        <v>390</v>
      </c>
      <c r="D37" s="137">
        <v>1</v>
      </c>
      <c r="E37" s="134">
        <v>4.84</v>
      </c>
      <c r="F37" s="153">
        <f t="shared" si="0"/>
        <v>4.84</v>
      </c>
      <c r="G37" s="149"/>
    </row>
    <row r="38" spans="1:7">
      <c r="A38" s="129">
        <v>35</v>
      </c>
      <c r="B38" s="136" t="s">
        <v>324</v>
      </c>
      <c r="C38" s="137" t="s">
        <v>391</v>
      </c>
      <c r="D38" s="137">
        <v>1</v>
      </c>
      <c r="E38" s="134">
        <v>5.28</v>
      </c>
      <c r="F38" s="153">
        <f t="shared" si="0"/>
        <v>5.28</v>
      </c>
      <c r="G38" s="149"/>
    </row>
    <row r="39" spans="1:7">
      <c r="A39" s="129">
        <v>36</v>
      </c>
      <c r="B39" s="136" t="s">
        <v>324</v>
      </c>
      <c r="C39" s="137" t="s">
        <v>392</v>
      </c>
      <c r="D39" s="137">
        <v>5</v>
      </c>
      <c r="E39" s="134">
        <v>175.12</v>
      </c>
      <c r="F39" s="131">
        <f t="shared" si="0"/>
        <v>875.6</v>
      </c>
      <c r="G39" s="149"/>
    </row>
    <row r="40" spans="1:7">
      <c r="A40" s="129">
        <v>37</v>
      </c>
      <c r="B40" s="136" t="s">
        <v>324</v>
      </c>
      <c r="C40" s="137" t="s">
        <v>393</v>
      </c>
      <c r="D40" s="137">
        <v>5</v>
      </c>
      <c r="E40" s="134">
        <v>104.88</v>
      </c>
      <c r="F40" s="131">
        <f t="shared" si="0"/>
        <v>524.4</v>
      </c>
      <c r="G40" s="149"/>
    </row>
    <row r="41" spans="1:7">
      <c r="A41" s="129">
        <v>38</v>
      </c>
      <c r="B41" s="136" t="s">
        <v>324</v>
      </c>
      <c r="C41" s="137" t="s">
        <v>394</v>
      </c>
      <c r="D41" s="137">
        <v>1</v>
      </c>
      <c r="E41" s="134">
        <v>5.0999999999999996</v>
      </c>
      <c r="F41" s="153">
        <f t="shared" si="0"/>
        <v>5.0999999999999996</v>
      </c>
      <c r="G41" s="149"/>
    </row>
    <row r="42" spans="1:7">
      <c r="A42" s="129">
        <v>39</v>
      </c>
      <c r="B42" s="136" t="s">
        <v>324</v>
      </c>
      <c r="C42" s="137" t="s">
        <v>395</v>
      </c>
      <c r="D42" s="137">
        <v>2</v>
      </c>
      <c r="E42" s="134">
        <v>18.41</v>
      </c>
      <c r="F42" s="153">
        <f t="shared" si="0"/>
        <v>36.82</v>
      </c>
      <c r="G42" s="149"/>
    </row>
    <row r="43" spans="1:7">
      <c r="A43" s="129">
        <v>40</v>
      </c>
      <c r="B43" s="136" t="s">
        <v>324</v>
      </c>
      <c r="C43" s="137" t="s">
        <v>396</v>
      </c>
      <c r="D43" s="137">
        <v>1</v>
      </c>
      <c r="E43" s="134">
        <v>6.71</v>
      </c>
      <c r="F43" s="153">
        <f t="shared" si="0"/>
        <v>6.71</v>
      </c>
      <c r="G43" s="149"/>
    </row>
    <row r="44" spans="1:7">
      <c r="A44" s="129">
        <v>41</v>
      </c>
      <c r="B44" s="136" t="s">
        <v>324</v>
      </c>
      <c r="C44" s="137" t="s">
        <v>397</v>
      </c>
      <c r="D44" s="137">
        <v>1</v>
      </c>
      <c r="E44" s="134">
        <v>4.82</v>
      </c>
      <c r="F44" s="153">
        <f t="shared" si="0"/>
        <v>4.82</v>
      </c>
      <c r="G44" s="149"/>
    </row>
    <row r="45" spans="1:7">
      <c r="A45" s="129">
        <v>42</v>
      </c>
      <c r="B45" s="136" t="s">
        <v>324</v>
      </c>
      <c r="C45" s="137" t="s">
        <v>398</v>
      </c>
      <c r="D45" s="137">
        <v>1</v>
      </c>
      <c r="E45" s="134">
        <v>4.9000000000000004</v>
      </c>
      <c r="F45" s="153">
        <f t="shared" si="0"/>
        <v>4.9000000000000004</v>
      </c>
      <c r="G45" s="149"/>
    </row>
    <row r="46" spans="1:7">
      <c r="A46" s="129">
        <v>43</v>
      </c>
      <c r="B46" s="136" t="s">
        <v>324</v>
      </c>
      <c r="C46" s="137" t="s">
        <v>399</v>
      </c>
      <c r="D46" s="137">
        <v>2</v>
      </c>
      <c r="E46" s="134">
        <v>18.41</v>
      </c>
      <c r="F46" s="153">
        <f t="shared" si="0"/>
        <v>36.82</v>
      </c>
      <c r="G46" s="149"/>
    </row>
    <row r="47" spans="1:7">
      <c r="A47" s="129">
        <v>44</v>
      </c>
      <c r="B47" s="136" t="s">
        <v>324</v>
      </c>
      <c r="C47" s="137" t="s">
        <v>400</v>
      </c>
      <c r="D47" s="137">
        <v>2</v>
      </c>
      <c r="E47" s="134">
        <v>19.36</v>
      </c>
      <c r="F47" s="153">
        <f t="shared" si="0"/>
        <v>38.72</v>
      </c>
      <c r="G47" s="149"/>
    </row>
    <row r="48" spans="1:7">
      <c r="A48" s="129">
        <v>45</v>
      </c>
      <c r="B48" s="136" t="s">
        <v>324</v>
      </c>
      <c r="C48" s="137" t="s">
        <v>401</v>
      </c>
      <c r="D48" s="137">
        <v>1</v>
      </c>
      <c r="E48" s="134">
        <v>4.9400000000000004</v>
      </c>
      <c r="F48" s="153">
        <f t="shared" si="0"/>
        <v>4.9400000000000004</v>
      </c>
      <c r="G48" s="149"/>
    </row>
    <row r="49" spans="1:7">
      <c r="A49" s="129">
        <v>46</v>
      </c>
      <c r="B49" s="136" t="s">
        <v>324</v>
      </c>
      <c r="C49" s="137" t="s">
        <v>402</v>
      </c>
      <c r="D49" s="137">
        <v>2</v>
      </c>
      <c r="E49" s="134">
        <v>18.41</v>
      </c>
      <c r="F49" s="153">
        <f t="shared" si="0"/>
        <v>36.82</v>
      </c>
      <c r="G49" s="149"/>
    </row>
    <row r="50" spans="1:7">
      <c r="A50" s="129">
        <v>47</v>
      </c>
      <c r="B50" s="136" t="s">
        <v>324</v>
      </c>
      <c r="C50" s="137" t="s">
        <v>403</v>
      </c>
      <c r="D50" s="137">
        <v>1</v>
      </c>
      <c r="E50" s="134">
        <v>4.75</v>
      </c>
      <c r="F50" s="153">
        <f t="shared" si="0"/>
        <v>4.75</v>
      </c>
      <c r="G50" s="149"/>
    </row>
    <row r="51" spans="1:7">
      <c r="A51" s="129">
        <v>48</v>
      </c>
      <c r="B51" s="136" t="s">
        <v>323</v>
      </c>
      <c r="C51" s="137" t="s">
        <v>404</v>
      </c>
      <c r="D51" s="137">
        <v>5</v>
      </c>
      <c r="E51" s="134">
        <v>37.83</v>
      </c>
      <c r="F51" s="131">
        <f t="shared" ref="F51:F59" si="1">D51*E51</f>
        <v>189.14999999999998</v>
      </c>
      <c r="G51" s="149"/>
    </row>
    <row r="52" spans="1:7">
      <c r="A52" s="129">
        <v>49</v>
      </c>
      <c r="B52" s="136" t="s">
        <v>323</v>
      </c>
      <c r="C52" s="137" t="s">
        <v>405</v>
      </c>
      <c r="D52" s="137">
        <v>1</v>
      </c>
      <c r="E52" s="134">
        <v>29.42</v>
      </c>
      <c r="F52" s="153">
        <f t="shared" si="1"/>
        <v>29.42</v>
      </c>
      <c r="G52" s="149"/>
    </row>
    <row r="53" spans="1:7">
      <c r="A53" s="129">
        <v>50</v>
      </c>
      <c r="B53" s="136" t="s">
        <v>323</v>
      </c>
      <c r="C53" s="137" t="s">
        <v>406</v>
      </c>
      <c r="D53" s="137">
        <v>1</v>
      </c>
      <c r="E53" s="134">
        <v>13.71</v>
      </c>
      <c r="F53" s="153">
        <f t="shared" si="1"/>
        <v>13.71</v>
      </c>
      <c r="G53" s="149"/>
    </row>
    <row r="54" spans="1:7">
      <c r="A54" s="129">
        <v>51</v>
      </c>
      <c r="B54" s="136" t="s">
        <v>408</v>
      </c>
      <c r="C54" s="137" t="s">
        <v>409</v>
      </c>
      <c r="D54" s="137">
        <v>1</v>
      </c>
      <c r="E54" s="134">
        <v>3269.34</v>
      </c>
      <c r="F54" s="131">
        <f t="shared" si="1"/>
        <v>3269.34</v>
      </c>
      <c r="G54" s="149"/>
    </row>
    <row r="55" spans="1:7">
      <c r="A55" s="129">
        <v>52</v>
      </c>
      <c r="B55" s="136" t="s">
        <v>410</v>
      </c>
      <c r="C55" s="137" t="s">
        <v>411</v>
      </c>
      <c r="D55" s="137">
        <v>1</v>
      </c>
      <c r="E55" s="134">
        <v>11018.4</v>
      </c>
      <c r="F55" s="153">
        <f t="shared" si="1"/>
        <v>11018.4</v>
      </c>
      <c r="G55" s="149"/>
    </row>
    <row r="56" spans="1:7">
      <c r="A56" s="129">
        <v>53</v>
      </c>
      <c r="B56" s="136" t="s">
        <v>408</v>
      </c>
      <c r="C56" s="137" t="s">
        <v>412</v>
      </c>
      <c r="D56" s="137">
        <v>1</v>
      </c>
      <c r="E56" s="134">
        <v>1462.53</v>
      </c>
      <c r="F56" s="153">
        <f t="shared" si="1"/>
        <v>1462.53</v>
      </c>
      <c r="G56" s="149"/>
    </row>
    <row r="57" spans="1:7">
      <c r="A57" s="129">
        <v>54</v>
      </c>
      <c r="B57" s="136" t="s">
        <v>408</v>
      </c>
      <c r="C57" s="137" t="s">
        <v>413</v>
      </c>
      <c r="D57" s="137">
        <v>1</v>
      </c>
      <c r="E57" s="134">
        <v>4163.2</v>
      </c>
      <c r="F57" s="153">
        <f t="shared" si="1"/>
        <v>4163.2</v>
      </c>
      <c r="G57" s="149"/>
    </row>
    <row r="58" spans="1:7">
      <c r="A58" s="129">
        <v>55</v>
      </c>
      <c r="B58" s="134" t="s">
        <v>414</v>
      </c>
      <c r="C58" s="137" t="s">
        <v>415</v>
      </c>
      <c r="D58" s="137">
        <v>1</v>
      </c>
      <c r="E58" s="134">
        <v>12749</v>
      </c>
      <c r="F58" s="153">
        <f t="shared" si="1"/>
        <v>12749</v>
      </c>
      <c r="G58" s="151" t="s">
        <v>416</v>
      </c>
    </row>
    <row r="59" spans="1:7">
      <c r="A59" s="129">
        <v>56</v>
      </c>
      <c r="B59" s="134" t="s">
        <v>414</v>
      </c>
      <c r="C59" s="137" t="s">
        <v>419</v>
      </c>
      <c r="D59" s="137">
        <v>1</v>
      </c>
      <c r="E59" s="134">
        <v>5037.83</v>
      </c>
      <c r="F59" s="153">
        <f t="shared" si="1"/>
        <v>5037.83</v>
      </c>
      <c r="G59" s="151"/>
    </row>
    <row r="60" spans="1:7">
      <c r="A60" s="129">
        <v>57</v>
      </c>
      <c r="B60" s="134" t="s">
        <v>421</v>
      </c>
      <c r="C60" s="137" t="s">
        <v>422</v>
      </c>
      <c r="D60" s="137">
        <v>1</v>
      </c>
      <c r="E60" s="134">
        <v>8815</v>
      </c>
      <c r="F60" s="153">
        <f>D60*E60</f>
        <v>8815</v>
      </c>
      <c r="G60" s="151"/>
    </row>
    <row r="61" spans="1:7">
      <c r="A61" s="129">
        <v>58</v>
      </c>
      <c r="B61" s="134" t="s">
        <v>423</v>
      </c>
      <c r="C61" s="137" t="s">
        <v>424</v>
      </c>
      <c r="D61" s="137">
        <v>1</v>
      </c>
      <c r="E61" s="134">
        <f>1485+94</f>
        <v>1579</v>
      </c>
      <c r="F61" s="131">
        <f>D61*E61</f>
        <v>1579</v>
      </c>
      <c r="G61" s="151"/>
    </row>
    <row r="62" spans="1:7" s="145" customFormat="1">
      <c r="A62" s="129"/>
      <c r="B62" s="232" t="s">
        <v>420</v>
      </c>
      <c r="C62" s="233"/>
      <c r="D62" s="233"/>
      <c r="E62" s="234"/>
      <c r="F62" s="144">
        <f>SUM(F4:F61)/1000</f>
        <v>57.056289999999997</v>
      </c>
      <c r="G62" s="152"/>
    </row>
    <row r="66" spans="3:5">
      <c r="C66" s="137" t="s">
        <v>427</v>
      </c>
      <c r="D66" s="137"/>
      <c r="E66" s="134">
        <v>10000</v>
      </c>
    </row>
    <row r="67" spans="3:5">
      <c r="C67" s="142" t="s">
        <v>436</v>
      </c>
      <c r="E67" s="143">
        <v>15000</v>
      </c>
    </row>
  </sheetData>
  <autoFilter ref="A3:G62"/>
  <mergeCells count="2">
    <mergeCell ref="B62:E62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/>
  </sheetPr>
  <dimension ref="A1:G4"/>
  <sheetViews>
    <sheetView workbookViewId="0">
      <selection activeCell="D27" sqref="D27"/>
    </sheetView>
  </sheetViews>
  <sheetFormatPr defaultColWidth="8.7109375" defaultRowHeight="15"/>
  <cols>
    <col min="1" max="1" width="8.7109375" customWidth="1"/>
    <col min="2" max="2" width="26.42578125" customWidth="1"/>
    <col min="3" max="3" width="28.7109375" customWidth="1"/>
    <col min="4" max="4" width="10.7109375" customWidth="1"/>
    <col min="5" max="5" width="11.7109375" customWidth="1"/>
    <col min="6" max="6" width="12.28515625" customWidth="1"/>
  </cols>
  <sheetData>
    <row r="1" spans="1:7" ht="25.9" customHeight="1">
      <c r="A1" s="122" t="s">
        <v>429</v>
      </c>
      <c r="B1" s="122" t="s">
        <v>316</v>
      </c>
      <c r="C1" s="122" t="s">
        <v>7</v>
      </c>
      <c r="D1" s="122" t="s">
        <v>433</v>
      </c>
      <c r="E1" s="122" t="s">
        <v>430</v>
      </c>
      <c r="F1" s="122" t="s">
        <v>431</v>
      </c>
      <c r="G1" s="154" t="s">
        <v>318</v>
      </c>
    </row>
    <row r="2" spans="1:7" ht="45" customHeight="1">
      <c r="A2" s="121">
        <v>1</v>
      </c>
      <c r="B2" s="121" t="s">
        <v>434</v>
      </c>
      <c r="C2" s="121" t="s">
        <v>432</v>
      </c>
      <c r="D2" s="121">
        <v>8</v>
      </c>
      <c r="E2" s="121">
        <v>82.55</v>
      </c>
      <c r="F2" s="121">
        <f>D2*E2</f>
        <v>660.4</v>
      </c>
      <c r="G2" s="155"/>
    </row>
    <row r="3" spans="1:7" ht="45" customHeight="1">
      <c r="A3" s="121">
        <v>2</v>
      </c>
      <c r="B3" s="121" t="s">
        <v>434</v>
      </c>
      <c r="C3" s="121" t="s">
        <v>435</v>
      </c>
      <c r="D3" s="121">
        <v>8</v>
      </c>
      <c r="E3" s="121">
        <v>82.55</v>
      </c>
      <c r="F3" s="121">
        <f>D3*E3</f>
        <v>660.4</v>
      </c>
      <c r="G3" s="155"/>
    </row>
    <row r="4" spans="1:7">
      <c r="A4" s="120"/>
      <c r="B4" s="120"/>
      <c r="C4" s="120"/>
      <c r="D4" s="120"/>
      <c r="E4" s="120"/>
      <c r="F4" s="121">
        <f>SUM(F2:F3)</f>
        <v>1320.8</v>
      </c>
      <c r="G4" s="1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G2:M20"/>
  <sheetViews>
    <sheetView workbookViewId="0">
      <selection activeCell="K20" sqref="K20"/>
    </sheetView>
  </sheetViews>
  <sheetFormatPr defaultRowHeight="15"/>
  <cols>
    <col min="7" max="7" width="16.140625" customWidth="1"/>
    <col min="10" max="10" width="12.7109375" customWidth="1"/>
    <col min="11" max="11" width="17.85546875" customWidth="1"/>
  </cols>
  <sheetData>
    <row r="2" spans="7:11">
      <c r="I2" s="83" t="s">
        <v>440</v>
      </c>
      <c r="J2" s="83" t="s">
        <v>441</v>
      </c>
    </row>
    <row r="3" spans="7:11">
      <c r="G3" t="s">
        <v>438</v>
      </c>
      <c r="H3">
        <v>17</v>
      </c>
      <c r="I3">
        <v>7</v>
      </c>
      <c r="J3">
        <v>10</v>
      </c>
    </row>
    <row r="4" spans="7:11">
      <c r="G4" t="s">
        <v>439</v>
      </c>
      <c r="H4">
        <v>7</v>
      </c>
      <c r="I4">
        <v>2</v>
      </c>
      <c r="J4">
        <v>5</v>
      </c>
    </row>
    <row r="5" spans="7:11">
      <c r="G5" t="s">
        <v>442</v>
      </c>
      <c r="H5">
        <v>8</v>
      </c>
    </row>
    <row r="13" spans="7:11">
      <c r="K13" s="75" t="s">
        <v>444</v>
      </c>
    </row>
    <row r="18" spans="8:13">
      <c r="H18">
        <f>36049.78*9</f>
        <v>324448.02</v>
      </c>
      <c r="I18">
        <v>200000</v>
      </c>
      <c r="M18">
        <f>0.75*4</f>
        <v>3</v>
      </c>
    </row>
    <row r="20" spans="8:13">
      <c r="H20">
        <f>H18-I18</f>
        <v>124448.02000000002</v>
      </c>
      <c r="K20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Invoice</vt:lpstr>
      <vt:lpstr>Abs</vt:lpstr>
      <vt:lpstr>PAINTING</vt:lpstr>
      <vt:lpstr>MANPOWER</vt:lpstr>
      <vt:lpstr>PRE-FABRICATED STRUCTURE</vt:lpstr>
      <vt:lpstr>structure fab &amp; ere</vt:lpstr>
      <vt:lpstr>G.I 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Tarkeshwar</dc:creator>
  <cp:lastModifiedBy>LENOVO</cp:lastModifiedBy>
  <cp:lastPrinted>2026-01-02T12:02:21Z</cp:lastPrinted>
  <dcterms:created xsi:type="dcterms:W3CDTF">2018-05-21T10:16:11Z</dcterms:created>
  <dcterms:modified xsi:type="dcterms:W3CDTF">2026-01-02T12:04:24Z</dcterms:modified>
</cp:coreProperties>
</file>